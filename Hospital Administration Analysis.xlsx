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drawings/drawing16.xml" ContentType="application/vnd.openxmlformats-officedocument.drawing+xml"/>
  <Override PartName="/xl/charts/chart1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b0e090cf62270d9/Documents/ssbs work/JOB AAJ/Mandatory Projects/"/>
    </mc:Choice>
  </mc:AlternateContent>
  <xr:revisionPtr revIDLastSave="269" documentId="8_{0EF1D422-1378-486F-BC37-5EE914DC41D6}" xr6:coauthVersionLast="47" xr6:coauthVersionMax="47" xr10:uidLastSave="{301BBB47-C659-4147-8C32-683F4DABB1AB}"/>
  <bookViews>
    <workbookView xWindow="-120" yWindow="-120" windowWidth="20730" windowHeight="11160" firstSheet="25" activeTab="27" xr2:uid="{960ACC41-8875-41E2-A047-00ED63E74E53}"/>
  </bookViews>
  <sheets>
    <sheet name="Overview Basic Q" sheetId="1" r:id="rId1"/>
    <sheet name="Q1 Age" sheetId="2" r:id="rId2"/>
    <sheet name="Q2 Speciality" sheetId="3" r:id="rId3"/>
    <sheet name="Q3 Emergency" sheetId="4" r:id="rId4"/>
    <sheet name="Q4 Diabetes" sheetId="5" r:id="rId5"/>
    <sheet name="Q5 Medchange" sheetId="6" r:id="rId6"/>
    <sheet name="Q6 Lab proc" sheetId="7" r:id="rId7"/>
    <sheet name="Q7 Demographics" sheetId="8" r:id="rId8"/>
    <sheet name="Q8 Weight" sheetId="9" r:id="rId9"/>
    <sheet name="Q9 Medication" sheetId="10" r:id="rId10"/>
    <sheet name="Q10 Outpatient" sheetId="11" r:id="rId11"/>
    <sheet name="Overview Medium Q" sheetId="14" r:id="rId12"/>
    <sheet name="M1 Comorbidity" sheetId="15" r:id="rId13"/>
    <sheet name="M2 Inpatient" sheetId="16" r:id="rId14"/>
    <sheet name="M3 Demographics" sheetId="18" r:id="rId15"/>
    <sheet name="M4 Diagnosis" sheetId="17" r:id="rId16"/>
    <sheet name="M5 Visit Patterns" sheetId="19" r:id="rId17"/>
    <sheet name="M6 Diabetic Meds" sheetId="20" r:id="rId18"/>
    <sheet name="M7 Specialty Meds" sheetId="21" r:id="rId19"/>
    <sheet name="M8 Weight Diag" sheetId="22" r:id="rId20"/>
    <sheet name="M9 Composite" sheetId="23" r:id="rId21"/>
    <sheet name="M10 Satisfaction" sheetId="24" r:id="rId22"/>
    <sheet name="Overview Advance" sheetId="25" r:id="rId23"/>
    <sheet name="A1 Prediction Model" sheetId="26" r:id="rId24"/>
    <sheet name="A2 Patient Segments" sheetId="27" r:id="rId25"/>
    <sheet name="A3 Financial Impact" sheetId="28" r:id="rId26"/>
    <sheet name="A4 Social Determinants" sheetId="29" r:id="rId27"/>
    <sheet name="A5 Follow-Up Program" sheetId="30" r:id="rId28"/>
  </sheets>
  <externalReferences>
    <externalReference r:id="rId29"/>
    <externalReference r:id="rId30"/>
    <externalReference r:id="rId3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1" i="30" l="1"/>
  <c r="B31" i="30"/>
  <c r="I30" i="30"/>
  <c r="I29" i="30"/>
  <c r="I28" i="30"/>
  <c r="I27" i="30"/>
  <c r="I26" i="30"/>
  <c r="I25" i="30"/>
  <c r="I31" i="30" s="1"/>
  <c r="J9" i="30"/>
  <c r="F9" i="30"/>
  <c r="E9" i="30"/>
  <c r="C9" i="30"/>
  <c r="J8" i="30"/>
  <c r="H8" i="30"/>
  <c r="I8" i="30" s="1"/>
  <c r="K8" i="30" s="1"/>
  <c r="G8" i="30"/>
  <c r="D8" i="30"/>
  <c r="J7" i="30"/>
  <c r="I7" i="30"/>
  <c r="K7" i="30" s="1"/>
  <c r="H7" i="30"/>
  <c r="G7" i="30"/>
  <c r="D7" i="30"/>
  <c r="D9" i="30" s="1"/>
  <c r="J6" i="30"/>
  <c r="H6" i="30"/>
  <c r="I6" i="30" s="1"/>
  <c r="G6" i="30"/>
  <c r="G9" i="30" s="1"/>
  <c r="D6" i="30"/>
  <c r="C31" i="28"/>
  <c r="B32" i="28" s="1"/>
  <c r="B31" i="28"/>
  <c r="C27" i="28"/>
  <c r="D27" i="28" s="1"/>
  <c r="D24" i="28"/>
  <c r="C24" i="28"/>
  <c r="C25" i="28" s="1"/>
  <c r="D25" i="28" s="1"/>
  <c r="B24" i="28"/>
  <c r="D22" i="28"/>
  <c r="C22" i="28"/>
  <c r="B27" i="28" s="1"/>
  <c r="B22" i="28"/>
  <c r="C21" i="28"/>
  <c r="C32" i="28" s="1"/>
  <c r="B21" i="28"/>
  <c r="C19" i="28"/>
  <c r="B19" i="28"/>
  <c r="C18" i="28"/>
  <c r="D18" i="28" s="1"/>
  <c r="B18" i="28"/>
  <c r="D17" i="28"/>
  <c r="E17" i="27"/>
  <c r="E16" i="27"/>
  <c r="E15" i="27"/>
  <c r="E14" i="27"/>
  <c r="I9" i="30" l="1"/>
  <c r="K9" i="30" s="1"/>
  <c r="K6" i="30"/>
  <c r="H9" i="30"/>
  <c r="B25" i="28"/>
  <c r="B23" i="28"/>
  <c r="C23" i="28"/>
  <c r="B28" i="28" l="1"/>
  <c r="D23" i="28"/>
  <c r="C29" i="28"/>
  <c r="B29" i="28"/>
  <c r="C28" i="28"/>
  <c r="D28" i="28" s="1"/>
</calcChain>
</file>

<file path=xl/sharedStrings.xml><?xml version="1.0" encoding="utf-8"?>
<sst xmlns="http://schemas.openxmlformats.org/spreadsheetml/2006/main" count="1565" uniqueCount="1155">
  <si>
    <t>HOSPITAL READMISSION ANALYSIS — BASIC LEVEL</t>
  </si>
  <si>
    <t>KEY DATASET STATISTICS</t>
  </si>
  <si>
    <t>Total Records</t>
  </si>
  <si>
    <t>Total Readmitted</t>
  </si>
  <si>
    <t>Overall Readmission Rate</t>
  </si>
  <si>
    <t>Age Groups</t>
  </si>
  <si>
    <t>Medical Specialties</t>
  </si>
  <si>
    <t>Diabetic Patients</t>
  </si>
  <si>
    <t>66,587</t>
  </si>
  <si>
    <t>30,764</t>
  </si>
  <si>
    <t>46.21%</t>
  </si>
  <si>
    <t>10</t>
  </si>
  <si>
    <t>65</t>
  </si>
  <si>
    <t>51,205 (76.9%)</t>
  </si>
  <si>
    <t>QUESTION INDEX</t>
  </si>
  <si>
    <t>#</t>
  </si>
  <si>
    <t>Question</t>
  </si>
  <si>
    <t>Key Variable(s)</t>
  </si>
  <si>
    <t>Method Used</t>
  </si>
  <si>
    <t>Key Finding</t>
  </si>
  <si>
    <t>Sheet</t>
  </si>
  <si>
    <t>Q1</t>
  </si>
  <si>
    <t>Readmission rates by age group</t>
  </si>
  <si>
    <t>age, readmitted</t>
  </si>
  <si>
    <t>Group &amp; Proportion</t>
  </si>
  <si>
    <t>Ages 70-90 have highest readmission (~48%); 90-100 dips to 38%</t>
  </si>
  <si>
    <t>Q1 Age</t>
  </si>
  <si>
    <t>Q2</t>
  </si>
  <si>
    <t>Avg hospital stay by medical specialty</t>
  </si>
  <si>
    <t>medical_specialty, time_in_hospital</t>
  </si>
  <si>
    <t>GroupBy Mean</t>
  </si>
  <si>
    <t>Pediatrics-Pulmonology (10.7 days) longest; Pediatrics-EM (1 day) shortest</t>
  </si>
  <si>
    <t>Q2 Specialty</t>
  </si>
  <si>
    <t>Q3</t>
  </si>
  <si>
    <t>Emergency visits vs readmission correlation</t>
  </si>
  <si>
    <t>number_emergency, readmitted</t>
  </si>
  <si>
    <t>Point-Biserial Correlation</t>
  </si>
  <si>
    <t>Positive correlation (r=0.108). Rate jumps from 44% → 89% with 6+ visits</t>
  </si>
  <si>
    <t>Q3 Emergency</t>
  </si>
  <si>
    <t>Q4</t>
  </si>
  <si>
    <t>Diabetic patients readmission rate</t>
  </si>
  <si>
    <t>diabetesMed, readmitted</t>
  </si>
  <si>
    <t>Diabetics: 47.96% readmitted vs 40.34% for non-diabetics</t>
  </si>
  <si>
    <t>Q4 Diabetes</t>
  </si>
  <si>
    <t>Q5</t>
  </si>
  <si>
    <t>Medication change vs readmission</t>
  </si>
  <si>
    <t>change, readmitted</t>
  </si>
  <si>
    <t>Chi-Square Test</t>
  </si>
  <si>
    <t>Medication changed: 48.62% readmitted vs 44.13% without change (p&lt;0.001)</t>
  </si>
  <si>
    <t>Q5 MedChange</t>
  </si>
  <si>
    <t>Q6</t>
  </si>
  <si>
    <t>Lab procedures vs readmission</t>
  </si>
  <si>
    <t>num_lab_procedures, readmitted</t>
  </si>
  <si>
    <t>Slight positive correlation (r=0.036). More labs → slightly higher readmission</t>
  </si>
  <si>
    <t>Q6 LabProc</t>
  </si>
  <si>
    <t>Q7</t>
  </si>
  <si>
    <t>Readmission by race &amp; gender</t>
  </si>
  <si>
    <t>race, gender, readmitted</t>
  </si>
  <si>
    <t>Caucasian (47%) highest by race; Females (46.85%) slightly higher than Males</t>
  </si>
  <si>
    <t>Q7 Demographics</t>
  </si>
  <si>
    <t>Q8</t>
  </si>
  <si>
    <t>Weight distribution &amp; readmission</t>
  </si>
  <si>
    <t>weight, readmitted</t>
  </si>
  <si>
    <t>Distribution + Group</t>
  </si>
  <si>
    <t>96.8% weight data missing. Valid data: lower weight groups have higher rates</t>
  </si>
  <si>
    <t>Q8 Weight</t>
  </si>
  <si>
    <t>Q9</t>
  </si>
  <si>
    <t>Medications vs length of stay</t>
  </si>
  <si>
    <t>num_medications, time_in_hospital</t>
  </si>
  <si>
    <t>Pearson Correlation</t>
  </si>
  <si>
    <t>Strong positive correlation (r=0.466). More meds = longer stays</t>
  </si>
  <si>
    <t>Q9 Medications</t>
  </si>
  <si>
    <t>Q10</t>
  </si>
  <si>
    <t>Outpatient visits vs readmission</t>
  </si>
  <si>
    <t>number_outpatient, readmitted</t>
  </si>
  <si>
    <t>Positive correlation (r=0.082). More prior outpatient visits → higher readmission</t>
  </si>
  <si>
    <t>Q10 Outpatient</t>
  </si>
  <si>
    <t>HOSPITAL READMISSION ANALYSIS  |  Q1 Age</t>
  </si>
  <si>
    <t>Q1: Readmission Rate by Age Group</t>
  </si>
  <si>
    <t>Age Group</t>
  </si>
  <si>
    <t>Total Patients</t>
  </si>
  <si>
    <t>Readmitted</t>
  </si>
  <si>
    <t>Not Readmitted</t>
  </si>
  <si>
    <t>Readmission Rate (%)</t>
  </si>
  <si>
    <t>[0-10)</t>
  </si>
  <si>
    <t>22.0%</t>
  </si>
  <si>
    <t>[10-20)</t>
  </si>
  <si>
    <t>41.59%</t>
  </si>
  <si>
    <t>[20-30)</t>
  </si>
  <si>
    <t>45.06%</t>
  </si>
  <si>
    <t>[30-40)</t>
  </si>
  <si>
    <t>42.09%</t>
  </si>
  <si>
    <t>[40-50)</t>
  </si>
  <si>
    <t>44.5%</t>
  </si>
  <si>
    <t>[50-60)</t>
  </si>
  <si>
    <t>45.08%</t>
  </si>
  <si>
    <t>[60-70)</t>
  </si>
  <si>
    <t>[70-80)</t>
  </si>
  <si>
    <t>48.02%</t>
  </si>
  <si>
    <t>[80-90)</t>
  </si>
  <si>
    <t>48.28%</t>
  </si>
  <si>
    <t>[90-100)</t>
  </si>
  <si>
    <t>38.03%</t>
  </si>
  <si>
    <t>HOSPITAL READMISSION ANALYSIS  |  Q2 Specialty</t>
  </si>
  <si>
    <t>Q2: Average Hospital Stay by Medical Specialty (Top 15 &amp; Bottom 10)</t>
  </si>
  <si>
    <t>Medical Specialty</t>
  </si>
  <si>
    <t>Avg Stay (Days)</t>
  </si>
  <si>
    <t>Rank</t>
  </si>
  <si>
    <t>TOP 15 — LONGEST STAYS</t>
  </si>
  <si>
    <t>Pediatrics-Pulmonology</t>
  </si>
  <si>
    <t>PhysicalMedicineandRehabilitation</t>
  </si>
  <si>
    <t>OutreachServices</t>
  </si>
  <si>
    <t>Pathology</t>
  </si>
  <si>
    <t>Psychiatry-Addictive</t>
  </si>
  <si>
    <t>Rheumatology</t>
  </si>
  <si>
    <t>Psychiatry-Child/Adolescent</t>
  </si>
  <si>
    <t>Proctology</t>
  </si>
  <si>
    <t>Psychiatry</t>
  </si>
  <si>
    <t>Psychology</t>
  </si>
  <si>
    <t>Surgery-Cardiovascular/Thoracic</t>
  </si>
  <si>
    <t>Surgery-Thoracic</t>
  </si>
  <si>
    <t>Surgery-Pediatric</t>
  </si>
  <si>
    <t>Obsterics&amp;Gynecology-GynecologicOnco</t>
  </si>
  <si>
    <t>Surgery-Colon&amp;Rectal</t>
  </si>
  <si>
    <t>BOTTOM 10 — SHORTEST STAYS</t>
  </si>
  <si>
    <t>Endocrinology-Metabolism</t>
  </si>
  <si>
    <t>Cardiology-Pediatric</t>
  </si>
  <si>
    <t>Anesthesiology</t>
  </si>
  <si>
    <t>Gynecology</t>
  </si>
  <si>
    <t>Obstetrics</t>
  </si>
  <si>
    <t>DCPTEAM</t>
  </si>
  <si>
    <t>Speech</t>
  </si>
  <si>
    <t>Pediatrics-Hematology-Oncology</t>
  </si>
  <si>
    <t>Anesthesiology-Pediatric</t>
  </si>
  <si>
    <t>Pediatrics-EmergencyMedicine</t>
  </si>
  <si>
    <t>HOSPITAL READMISSION ANALYSIS  |  Q3 Emergency</t>
  </si>
  <si>
    <t>Q3: Emergency Visits vs Readmission Rate</t>
  </si>
  <si>
    <t>Metric</t>
  </si>
  <si>
    <t>Value</t>
  </si>
  <si>
    <t>Interpretation</t>
  </si>
  <si>
    <t>Point-Biserial Correlation (r)</t>
  </si>
  <si>
    <t>0.1078</t>
  </si>
  <si>
    <t>P-Value</t>
  </si>
  <si>
    <t>2.44e-171</t>
  </si>
  <si>
    <t>Statistically significant (p &lt; 0.001)</t>
  </si>
  <si>
    <t>Baseline for comparison</t>
  </si>
  <si>
    <t>Readmission Rate by Prior Emergency Visit Count</t>
  </si>
  <si>
    <t>Prior ER Visits</t>
  </si>
  <si>
    <t>0</t>
  </si>
  <si>
    <t>44.04%</t>
  </si>
  <si>
    <t>1</t>
  </si>
  <si>
    <t>58.71%</t>
  </si>
  <si>
    <t>2</t>
  </si>
  <si>
    <t>67.57%</t>
  </si>
  <si>
    <t>3-5</t>
  </si>
  <si>
    <t>75.52%</t>
  </si>
  <si>
    <t>6+</t>
  </si>
  <si>
    <t>89.01%</t>
  </si>
  <si>
    <t>HOSPITAL READMISSION ANALYSIS  |  Q4 Diabetes</t>
  </si>
  <si>
    <t>Q4: Diabetic Patients and Readmission Rate</t>
  </si>
  <si>
    <t>Diabetic Medication Prescribed</t>
  </si>
  <si>
    <t>40.34%</t>
  </si>
  <si>
    <t>47.96%</t>
  </si>
  <si>
    <t>▲ Difference in Readmission Rate: 7.62 percentage points (Diabetics higher)</t>
  </si>
  <si>
    <t>HOSPITAL READMISSION ANALYSIS  |  Q5 MedChange</t>
  </si>
  <si>
    <t>Q5: Medication Change and Readmission Rate</t>
  </si>
  <si>
    <t>Chi-Square Statistic</t>
  </si>
  <si>
    <t>Degrees of Freedom</t>
  </si>
  <si>
    <t>Significant?</t>
  </si>
  <si>
    <t>133.86</t>
  </si>
  <si>
    <t>5.85e-31</t>
  </si>
  <si>
    <t>YES (p &lt; 0.001)</t>
  </si>
  <si>
    <t>Readmission Rate by Medication Change Status</t>
  </si>
  <si>
    <t>Medication Change</t>
  </si>
  <si>
    <t>48.62%</t>
  </si>
  <si>
    <t>44.13%</t>
  </si>
  <si>
    <t>HOSPITAL READMISSION ANALYSIS  |  Q6 LabProc</t>
  </si>
  <si>
    <t>Q6: Lab Procedures vs Readmission Rate</t>
  </si>
  <si>
    <t>Correlation (r)</t>
  </si>
  <si>
    <t>0.0357</t>
  </si>
  <si>
    <t>3.18e-20</t>
  </si>
  <si>
    <t>Statistically significant</t>
  </si>
  <si>
    <t>Readmission Rate by Lab Procedure Count Bucket</t>
  </si>
  <si>
    <t>Lab Procedures (Range)</t>
  </si>
  <si>
    <t>1-20</t>
  </si>
  <si>
    <t>42.95%</t>
  </si>
  <si>
    <t>21-40</t>
  </si>
  <si>
    <t>44.69%</t>
  </si>
  <si>
    <t>41-60</t>
  </si>
  <si>
    <t>47.01%</t>
  </si>
  <si>
    <t>61-80</t>
  </si>
  <si>
    <t>49.67%</t>
  </si>
  <si>
    <t>81+</t>
  </si>
  <si>
    <t>43.98%</t>
  </si>
  <si>
    <t>HOSPITAL READMISSION ANALYSIS  |  Q7 Demographics</t>
  </si>
  <si>
    <t>Q7: Readmission Rate by Race</t>
  </si>
  <si>
    <t>Race</t>
  </si>
  <si>
    <t>Caucasian</t>
  </si>
  <si>
    <t>47.04%</t>
  </si>
  <si>
    <t>AfricanAmerican</t>
  </si>
  <si>
    <t>45.97%</t>
  </si>
  <si>
    <t>Hispanic</t>
  </si>
  <si>
    <t>40.75%</t>
  </si>
  <si>
    <t>Other</t>
  </si>
  <si>
    <t>40.19%</t>
  </si>
  <si>
    <t>Asian</t>
  </si>
  <si>
    <t>39.22%</t>
  </si>
  <si>
    <t>Q7: Readmission Rate by Gender</t>
  </si>
  <si>
    <t>Gender</t>
  </si>
  <si>
    <t>Female</t>
  </si>
  <si>
    <t>46.85%</t>
  </si>
  <si>
    <t>Male</t>
  </si>
  <si>
    <t>45.44%</t>
  </si>
  <si>
    <t>HOSPITAL READMISSION ANALYSIS  |  Q8 Weight</t>
  </si>
  <si>
    <t>Q8: Weight Data Distribution (Data Quality Assessment)</t>
  </si>
  <si>
    <t>Weight Category</t>
  </si>
  <si>
    <t>Patient Count</t>
  </si>
  <si>
    <t>% of Total Dataset</t>
  </si>
  <si>
    <t>Data Quality Flag</t>
  </si>
  <si>
    <t>?</t>
  </si>
  <si>
    <t>96.8%</t>
  </si>
  <si>
    <t>[75-100)</t>
  </si>
  <si>
    <t>1.35%</t>
  </si>
  <si>
    <t>[50-75)</t>
  </si>
  <si>
    <t>0.91%</t>
  </si>
  <si>
    <t>[100-125)</t>
  </si>
  <si>
    <t>0.62%</t>
  </si>
  <si>
    <t>[125-150)</t>
  </si>
  <si>
    <t>0.16%</t>
  </si>
  <si>
    <t>[25-50)</t>
  </si>
  <si>
    <t>0.08%</t>
  </si>
  <si>
    <t>[0-25)</t>
  </si>
  <si>
    <t>0.04%</t>
  </si>
  <si>
    <t>[150-175)</t>
  </si>
  <si>
    <t>0.03%</t>
  </si>
  <si>
    <t>[175-200)</t>
  </si>
  <si>
    <t>0.01%</t>
  </si>
  <si>
    <t>&gt;200</t>
  </si>
  <si>
    <t>100.0%</t>
  </si>
  <si>
    <t>80.77%</t>
  </si>
  <si>
    <t>58.65%</t>
  </si>
  <si>
    <t>49.04%</t>
  </si>
  <si>
    <t>25.0%</t>
  </si>
  <si>
    <t>37.5%</t>
  </si>
  <si>
    <t>57.69%</t>
  </si>
  <si>
    <t>53.4%</t>
  </si>
  <si>
    <t>58.67%</t>
  </si>
  <si>
    <t>HOSPITAL READMISSION ANALYSIS  |  Q9 Medications</t>
  </si>
  <si>
    <t>Q9: Number of Medications vs Length of Hospital Stay</t>
  </si>
  <si>
    <t>Pearson Correlation (r)</t>
  </si>
  <si>
    <t>0.4660</t>
  </si>
  <si>
    <t>Strong positive — more medications = longer stay</t>
  </si>
  <si>
    <t>0.00e+00</t>
  </si>
  <si>
    <t>Highly statistically significant</t>
  </si>
  <si>
    <t>R-Squared</t>
  </si>
  <si>
    <t>0.2172</t>
  </si>
  <si>
    <t>21.7% of stay variation explained by medications</t>
  </si>
  <si>
    <t>Avg Hospital Stay by Medication Count Bucket</t>
  </si>
  <si>
    <t>Medication Count</t>
  </si>
  <si>
    <t>1-5</t>
  </si>
  <si>
    <t>6-10</t>
  </si>
  <si>
    <t>11-15</t>
  </si>
  <si>
    <t>16-20</t>
  </si>
  <si>
    <t>21-30</t>
  </si>
  <si>
    <t>31+</t>
  </si>
  <si>
    <t>HOSPITAL READMISSION ANALYSIS  |  Q10 Outpatient</t>
  </si>
  <si>
    <t>Q10: Prior Outpatient Visits vs Readmission Rate</t>
  </si>
  <si>
    <t>0.0816</t>
  </si>
  <si>
    <t>1.01e-98</t>
  </si>
  <si>
    <t>Readmission Rate by Prior Outpatient Visits</t>
  </si>
  <si>
    <t>Prior Outpatient Visits</t>
  </si>
  <si>
    <t>43.78%</t>
  </si>
  <si>
    <t>57.76%</t>
  </si>
  <si>
    <t>59.94%</t>
  </si>
  <si>
    <t>56.88%</t>
  </si>
  <si>
    <t>65.14%</t>
  </si>
  <si>
    <t>Insight: Counter-intuitively, patients with more prior outpatient visits have HIGHER readmission rates - jumping from 43.78% (0 visits) to 65.14% (6+ visits). This is likely because patients with chronic or complex conditions use outpatient care more regularly AND are also at higher readmission risk. More outpatient visits should be seen as a marker of complexity, not a failure of outpatient care.</t>
  </si>
  <si>
    <t>Positive - more outpatient visits → higher readmission</t>
  </si>
  <si>
    <t>Insight: Pearson correlation of 0.466 is the strongest correlation found in basic analysis, a meaningful relationship. Patients on 1-5 medications stay an average of ~2 days; those on 31+ medications stay nearly 8 days. This makes clinical sense -more complex cases need more medications and longer care. This insight can help predict resource requirements at admission.</t>
  </si>
  <si>
    <t>Avg Medications</t>
  </si>
  <si>
    <t xml:space="preserve"> Insight: CRITICAL DATA QUALITY ISSUE - 96.8% of weight records are missing ('?'). Only 2,133 out of 66,587 patients have valid weight data, making any weight-based analysis statistically unreliable. For the small valid sample, lower weight groups (0-25 kg: 80.77%, 25-50 kg: 57.69%) show very high readmission rates, possibly reflecting frail or severely ill patients. Recommendation: the hospital should make weight recording mandatory for all admissions.</t>
  </si>
  <si>
    <t>Q8: Readmission Rate by Weight (Valid Records Only - 2,133 patients)</t>
  </si>
  <si>
    <t>96.8% of data MISSING</t>
  </si>
  <si>
    <t xml:space="preserve"> Usable</t>
  </si>
  <si>
    <t>Usable</t>
  </si>
  <si>
    <t>Insight: Caucasian patients have the highest readmission rate at 47.04%, followed by African Americans at 45.97%. Asian, Hispanic, and Other groups all have rates around 39-41%, though their sample sizes are much smaller. On gender, Females (46.85%) are readmitted slightly more than Males (44.44%). The racial differences may reflect both patient population differences and potential care disparities worth investigating.</t>
  </si>
  <si>
    <t>Weak positive more labs → slightly higher readmission</t>
  </si>
  <si>
    <t>Insight: The correlation is positive but weak (r=0.036). Readmission rates rise from 43% for patients with 1-20 lab tests to 49.7% for those with 61-80 tests, then dip for 81+, possibly because those patients are receiving more intensive monitoring. High lab counts likely reflect sicker patients, not that labs cause readmissions. The number of labs may be a marker of severity, not a driver.</t>
  </si>
  <si>
    <t>Insight: Patients whose diabetic medication was changed had a readmission rate of 48.62%, versus 44.13% for those without any change. The Chi-Square test confirms this difference is statistically significant (p &lt; 0.001). This doesn't necessarily mean the change caused the readmission — patients whose medication was changed may have had poorer baseline control, making them sicker to begin with.</t>
  </si>
  <si>
    <t>Insight: Readmission rates peak in the 70-90 age bracket (~48%). Interestingly, the 90-100 group drops to 38%, possibly due to lower overall admissions or end-of-life care. The 0-10 age group has the lowest rate (22%). Hospitals should prioritize targeted follow-up programs for patients aged 60-90.</t>
  </si>
  <si>
    <t>Insight: Pediatrics-Pulmonology (10.69 days) and Physical Medicine &amp; Rehabilitation (8.89 days) have the longest average stays  reflecting complex, long-term cases. Pediatrics-Emergency Medicine (1 day) is shortest. Specialties like Psychiatry (6.64 days) also rank high, pointing to resource-intensive care.</t>
  </si>
  <si>
    <t>Insight: Patients with zero prior ER visits have a 44% readmission rate. That rate rises to nearly 59% after just 1 ER visit in the prior year, and hits 89% for patients with 6+ ER visits. This is one of the strongest single-variable signals in the dataset. These high-frequency ER users should be flagged for intensive post-discharge care programs.</t>
  </si>
  <si>
    <t>Positive - more ER visits → higher readmission</t>
  </si>
  <si>
    <t>Insight: Diabetic patients (on medication) have a readmission rate of 47.96% compared to 40.34% for non-diabetic patients nearly 8 percentage points higher. With 51,205 diabetic patients in the dataset (76.9% of total), diabetes management is a critical lever for reducing overall hospital readmissions.</t>
  </si>
  <si>
    <t>Yes - Diabetic</t>
  </si>
  <si>
    <t>No - Non-Diabetic</t>
  </si>
  <si>
    <t>Yes  Medication Changed</t>
  </si>
  <si>
    <t>No  No Change</t>
  </si>
  <si>
    <t>HOSPITAL READMISSION ANALYSIS — MEDIUM LEVEL</t>
  </si>
  <si>
    <t>QUESTION INDEX — MEDIUM LEVEL</t>
  </si>
  <si>
    <t>Method</t>
  </si>
  <si>
    <t>M1</t>
  </si>
  <si>
    <t>Comorbidity effect on stay &amp; readmission</t>
  </si>
  <si>
    <t>GroupBy + Pearson/PointBiserial Correlation</t>
  </si>
  <si>
    <t>More diagnoses = longer stays &amp; higher readmission. Very High comorbidity = 50% readmission vs 34% for Very Low</t>
  </si>
  <si>
    <t>M1 Comorbidity</t>
  </si>
  <si>
    <t>M2</t>
  </si>
  <si>
    <t>Prior inpatient visits as discharge proxy &amp; readmission</t>
  </si>
  <si>
    <t>GroupBy + Correlation</t>
  </si>
  <si>
    <t>0 prior inpatient visits = 38.66% readmission; 6+ prior inpatient = 85.79%. Strongest predictor in medium set</t>
  </si>
  <si>
    <t>M2 Inpatient</t>
  </si>
  <si>
    <t>M3</t>
  </si>
  <si>
    <t>Demographics vs medical interventions (lab, meds, procedures)</t>
  </si>
  <si>
    <t>ANOVA + GroupBy</t>
  </si>
  <si>
    <t>Caucasians receive most medications (16.28 avg). Significant variation in medications by race (p&lt;0.001). Medications peak at age 60-70</t>
  </si>
  <si>
    <t>M3 Demographics</t>
  </si>
  <si>
    <t>M4</t>
  </si>
  <si>
    <t>Prior visit patterns by primary diagnosis</t>
  </si>
  <si>
    <t>GroupBy Multi-Variable</t>
  </si>
  <si>
    <t>Chronic Bronchitis (60.5%) &amp; Heart Failure (58.6%) have highest readmission. Chronic conditions show highest prior-visit history</t>
  </si>
  <si>
    <t>M4 Diagnosis</t>
  </si>
  <si>
    <t>M5</t>
  </si>
  <si>
    <t>Inpatient/Outpatient/Emergency visits by primary diagnosis</t>
  </si>
  <si>
    <t>GroupBy Aggregation</t>
  </si>
  <si>
    <t>Heart Failure &amp; Chronic Bronchitis patients have most prior hospital contact. Osteoarthrosis lowest readmission (35.9%)</t>
  </si>
  <si>
    <t>M5 Visit Patterns</t>
  </si>
  <si>
    <t>M6</t>
  </si>
  <si>
    <t>Diabetic medication effectiveness on readmission</t>
  </si>
  <si>
    <t>Chi-Square + GroupBy</t>
  </si>
  <si>
    <t>X3 (metformin-like) significantly reduces readmission: 43.06% vs 49.64% baseline (p&lt;0.001). X14 is highest risk at 61.57%</t>
  </si>
  <si>
    <t>M6 Diabetic Meds</t>
  </si>
  <si>
    <t>M7</t>
  </si>
  <si>
    <t>Medication prescribing by specialty &amp; readmission</t>
  </si>
  <si>
    <t>Nephrology highest readmission (55.1%) with 17.46 avg meds. Orthopedics lowest (30-33%) with highest med count (20+)</t>
  </si>
  <si>
    <t>M7 Specialty Meds</t>
  </si>
  <si>
    <t>M8</t>
  </si>
  <si>
    <t>Weight + diagnosis on readmission (valid data)</t>
  </si>
  <si>
    <t>GroupBy + Cross Analysis</t>
  </si>
  <si>
    <t>Very low weight (0-25kg) has 80.77% readmission rate. Data quality critical — 96.8% weight missing</t>
  </si>
  <si>
    <t>M8 Weight Diag</t>
  </si>
  <si>
    <t>M9</t>
  </si>
  <si>
    <t>Long-term patient burden composite analysis</t>
  </si>
  <si>
    <t>Composite Score + GroupBy</t>
  </si>
  <si>
    <t>Constructed composite outcome score. Ages 80-90 carry highest burden. Readmission + prior inpatient are key drivers</t>
  </si>
  <si>
    <t>M9 Composite</t>
  </si>
  <si>
    <t>M10</t>
  </si>
  <si>
    <t>Patient satisfaction analysis &amp; data gap assessment</t>
  </si>
  <si>
    <t>Gap Analysis + Substitution</t>
  </si>
  <si>
    <t>Satisfaction data NOT in dataset. Documented gap, built alternative analysis using healthcare utilization as proxy for experience</t>
  </si>
  <si>
    <t>M10 Satisfaction</t>
  </si>
  <si>
    <t xml:space="preserve"> 10 Medium Questions Solved</t>
  </si>
  <si>
    <t xml:space="preserve"> 10 Basic Questions Solved</t>
  </si>
  <si>
    <t>HOSPITAL READMISSION ANALYSIS  |  MEDIUM LEVEL  |  M1: Comorbidity Effect on Stay &amp; Readmission</t>
  </si>
  <si>
    <t>Comorbidity = number of concurrent diagnoses per patient encounter</t>
  </si>
  <si>
    <t>Correlation Statistics</t>
  </si>
  <si>
    <t>Strength</t>
  </si>
  <si>
    <t>Diagnoses vs Hospital Stay (Pearson r)</t>
  </si>
  <si>
    <t>0.2179</t>
  </si>
  <si>
    <t>Moderate Positive</t>
  </si>
  <si>
    <t>YES</t>
  </si>
  <si>
    <t>Diagnoses vs Readmission (PointBiserial r)</t>
  </si>
  <si>
    <t>0.1073</t>
  </si>
  <si>
    <t>Weak-Moderate Positive</t>
  </si>
  <si>
    <t>1.44e-169</t>
  </si>
  <si>
    <t>Comorbidity Score vs Hospital Stay &amp; Readmission Rate</t>
  </si>
  <si>
    <t>Comorbidity Level</t>
  </si>
  <si>
    <t>Avg Diagnoses</t>
  </si>
  <si>
    <t>Very Low (1-3)</t>
  </si>
  <si>
    <t>34.05%</t>
  </si>
  <si>
    <t>Low (4-6)</t>
  </si>
  <si>
    <t>39.66%</t>
  </si>
  <si>
    <t>Medium (7-9)</t>
  </si>
  <si>
    <t>49.41%</t>
  </si>
  <si>
    <t>High (10-12)</t>
  </si>
  <si>
    <t>48.15%</t>
  </si>
  <si>
    <t>Very High (13-16)</t>
  </si>
  <si>
    <t>50.0%</t>
  </si>
  <si>
    <t>Insight: A clear staircase pattern - more diagnoses = longer stays and higher readmissions. Patients with Very Low comorbidity (1-3 diagnoses) are readmitted at 34.05% and stay 2.76 days on average. Very High comorbidity (13-16 diagnoses) hits 50% readmission and 6.44 days average stay. With correlation r=0.218 for stay and r=0.107 for readmission, comorbidity is a solid predictor. These complex multi-condition patients need personalized discharge planning and stronger follow-up.</t>
  </si>
  <si>
    <t>HOSPITAL READMISSION ANALYSIS  |  MEDIUM LEVEL  |  M2: Prior Inpatient Visits &amp; Readmission (Discharge Proxy)</t>
  </si>
  <si>
    <t>Correlation: Prior Inpatient Visits vs Readmission</t>
  </si>
  <si>
    <t>PointBiserial r</t>
  </si>
  <si>
    <t>0.2174</t>
  </si>
  <si>
    <t>Readmission Rate by Prior Inpatient Visit Count</t>
  </si>
  <si>
    <t>Prior Inpatient Visits</t>
  </si>
  <si>
    <t>0 (No History)</t>
  </si>
  <si>
    <t>38.66%</t>
  </si>
  <si>
    <t>1 Prior</t>
  </si>
  <si>
    <t>54.44%</t>
  </si>
  <si>
    <t>2 Prior</t>
  </si>
  <si>
    <t>3-5 Prior</t>
  </si>
  <si>
    <t>72.51%</t>
  </si>
  <si>
    <t>6+ Prior</t>
  </si>
  <si>
    <t>85.79%</t>
  </si>
  <si>
    <t>HOSPITAL READMISSION ANALYSIS  |  MEDIUM LEVEL  |  M3: Demographics vs Medical Interventions</t>
  </si>
  <si>
    <t>Analyzing if race, gender, and age affect lab procedures, medications, and procedures received</t>
  </si>
  <si>
    <t>ANOVA Results: Are Differences Statistically Significant?</t>
  </si>
  <si>
    <t>Test</t>
  </si>
  <si>
    <t>F-Statistic</t>
  </si>
  <si>
    <t>Implication</t>
  </si>
  <si>
    <t>Race vs Lab Procedures</t>
  </si>
  <si>
    <t>12.85</t>
  </si>
  <si>
    <t>0.0000</t>
  </si>
  <si>
    <t>Different racial groups receive different lab counts</t>
  </si>
  <si>
    <t>Race vs Medications</t>
  </si>
  <si>
    <t>65.29</t>
  </si>
  <si>
    <t>Significant medication variation across races</t>
  </si>
  <si>
    <t>By Race</t>
  </si>
  <si>
    <t>Avg Lab Procedures</t>
  </si>
  <si>
    <t>Avg Procedures</t>
  </si>
  <si>
    <t>By Age Group</t>
  </si>
  <si>
    <t>By Gender</t>
  </si>
  <si>
    <t>HOSPITAL READMISSION ANALYSIS  |  MEDIUM LEVEL  |  M4: Prior Visit Patterns by Primary Diagnosis (Top 10 Diagnoses)</t>
  </si>
  <si>
    <t>Diagnosis Code</t>
  </si>
  <si>
    <t>Diagnosis Name</t>
  </si>
  <si>
    <t>Prior Inpatient (Avg)</t>
  </si>
  <si>
    <t>Prior Outpatient (Avg)</t>
  </si>
  <si>
    <t>Prior Emergency (Avg)</t>
  </si>
  <si>
    <t>491</t>
  </si>
  <si>
    <t>Chronic Bronchitis</t>
  </si>
  <si>
    <t>60.45%</t>
  </si>
  <si>
    <t>428</t>
  </si>
  <si>
    <t>Heart Failure</t>
  </si>
  <si>
    <t>58.61%</t>
  </si>
  <si>
    <t>486</t>
  </si>
  <si>
    <t>Pneumonia</t>
  </si>
  <si>
    <t>47.87%</t>
  </si>
  <si>
    <t>427</t>
  </si>
  <si>
    <t>Cardiac Dysrhythmias</t>
  </si>
  <si>
    <t>46.5%</t>
  </si>
  <si>
    <t>780</t>
  </si>
  <si>
    <t>General Symptoms</t>
  </si>
  <si>
    <t>46.11%</t>
  </si>
  <si>
    <t>682</t>
  </si>
  <si>
    <t>Cellulitis</t>
  </si>
  <si>
    <t>45.88%</t>
  </si>
  <si>
    <t>414</t>
  </si>
  <si>
    <t>Coronary Artery Disease</t>
  </si>
  <si>
    <t>42.27%</t>
  </si>
  <si>
    <t>786</t>
  </si>
  <si>
    <t>Chest/Respiratory Symptoms</t>
  </si>
  <si>
    <t>41.07%</t>
  </si>
  <si>
    <t>410</t>
  </si>
  <si>
    <t>Acute MI</t>
  </si>
  <si>
    <t>40.3%</t>
  </si>
  <si>
    <t>715</t>
  </si>
  <si>
    <t>Osteoarthrosis</t>
  </si>
  <si>
    <t>35.9%</t>
  </si>
  <si>
    <t>HOSPITAL READMISSION ANALYSIS  |  MEDIUM LEVEL  |  M5: Inpatient / Outpatient / Emergency Visits by Diagnosis</t>
  </si>
  <si>
    <t>All Three Visit Types Side-by-Side by Diagnosis</t>
  </si>
  <si>
    <t>Diagnosis</t>
  </si>
  <si>
    <t>Patients</t>
  </si>
  <si>
    <t>Avg Prior Inpatient</t>
  </si>
  <si>
    <t>Avg Prior Outpatient</t>
  </si>
  <si>
    <t>Avg Prior Emergency</t>
  </si>
  <si>
    <t>Total Prior Contact*</t>
  </si>
  <si>
    <t>* Total Prior Contact = sum of avg inpatient + outpatient + emergency visits per patient in the year before admission</t>
  </si>
  <si>
    <t>HOSPITAL READMISSION ANALYSIS  |  MEDIUM LEVEL  |  M6: Diabetic Medication Effectiveness on Readmission</t>
  </si>
  <si>
    <t>Analyzing X-coded medication indicators among diabetic patients (diabetesMed=Yes, n=51,205)</t>
  </si>
  <si>
    <t>Diabetic Medication vs Readmission Rate (Sorted: Best → Worst)</t>
  </si>
  <si>
    <t>Medication</t>
  </si>
  <si>
    <t>Prescribed</t>
  </si>
  <si>
    <t>Not Prescribed</t>
  </si>
  <si>
    <t>Rate If Prescribed (%)</t>
  </si>
  <si>
    <t>Rate If Not (%)</t>
  </si>
  <si>
    <t>Difference (pp)</t>
  </si>
  <si>
    <t>Chi-Square</t>
  </si>
  <si>
    <t>Effect</t>
  </si>
  <si>
    <t>X3</t>
  </si>
  <si>
    <t>43.06%</t>
  </si>
  <si>
    <t>49.64%</t>
  </si>
  <si>
    <t>-6.58</t>
  </si>
  <si>
    <t>REDUCES Readmission</t>
  </si>
  <si>
    <t>X10</t>
  </si>
  <si>
    <t>45.32%</t>
  </si>
  <si>
    <t>48.37%</t>
  </si>
  <si>
    <t>-3.05</t>
  </si>
  <si>
    <t>X7</t>
  </si>
  <si>
    <t>47.83%</t>
  </si>
  <si>
    <t>47.97%</t>
  </si>
  <si>
    <t>-0.14</t>
  </si>
  <si>
    <t>0.8893</t>
  </si>
  <si>
    <t>X12</t>
  </si>
  <si>
    <t>48.12%</t>
  </si>
  <si>
    <t>47.95%</t>
  </si>
  <si>
    <t>+0.18</t>
  </si>
  <si>
    <t>0.8283</t>
  </si>
  <si>
    <t>INCREASES Readmission</t>
  </si>
  <si>
    <t>X13</t>
  </si>
  <si>
    <t>48.51%</t>
  </si>
  <si>
    <t>47.91%</t>
  </si>
  <si>
    <t>+0.59</t>
  </si>
  <si>
    <t>0.4748</t>
  </si>
  <si>
    <t>X20</t>
  </si>
  <si>
    <t>48.31%</t>
  </si>
  <si>
    <t>47.17%</t>
  </si>
  <si>
    <t>+1.14</t>
  </si>
  <si>
    <t>0.0174</t>
  </si>
  <si>
    <t>X9</t>
  </si>
  <si>
    <t>48.94%</t>
  </si>
  <si>
    <t>47.77%</t>
  </si>
  <si>
    <t>+1.17</t>
  </si>
  <si>
    <t>0.0526</t>
  </si>
  <si>
    <t>X21</t>
  </si>
  <si>
    <t>49.27%</t>
  </si>
  <si>
    <t>+1.32</t>
  </si>
  <si>
    <t>0.5984</t>
  </si>
  <si>
    <t>X5</t>
  </si>
  <si>
    <t>50.84%</t>
  </si>
  <si>
    <t>47.94%</t>
  </si>
  <si>
    <t>+2.91</t>
  </si>
  <si>
    <t>0.2237</t>
  </si>
  <si>
    <t>X4</t>
  </si>
  <si>
    <t>54.09%</t>
  </si>
  <si>
    <t>47.84%</t>
  </si>
  <si>
    <t>+6.26</t>
  </si>
  <si>
    <t>0.0001</t>
  </si>
  <si>
    <t>X6</t>
  </si>
  <si>
    <t>55.41%</t>
  </si>
  <si>
    <t>+7.45</t>
  </si>
  <si>
    <t>0.2436</t>
  </si>
  <si>
    <t>X14</t>
  </si>
  <si>
    <t>61.57%</t>
  </si>
  <si>
    <t>47.9%</t>
  </si>
  <si>
    <t>+13.67</t>
  </si>
  <si>
    <t>HOSPITAL READMISSION ANALYSIS  |  MEDIUM LEVEL  |  M7: Medication Prescribing Patterns by Medical Specialty</t>
  </si>
  <si>
    <t>Specialty Prescribing &amp; Outcomes (Sorted by Readmission Rate)</t>
  </si>
  <si>
    <t>Nephrology</t>
  </si>
  <si>
    <t>55.1%</t>
  </si>
  <si>
    <t>Emergency/Trauma</t>
  </si>
  <si>
    <t>50.2%</t>
  </si>
  <si>
    <t>Family/GeneralPractice</t>
  </si>
  <si>
    <t>47.99%</t>
  </si>
  <si>
    <t>InternalMedicine</t>
  </si>
  <si>
    <t>44.22%</t>
  </si>
  <si>
    <t>Radiologist</t>
  </si>
  <si>
    <t>44.2%</t>
  </si>
  <si>
    <t>Surgery-General</t>
  </si>
  <si>
    <t>43.44%</t>
  </si>
  <si>
    <t>Cardiology</t>
  </si>
  <si>
    <t>43.36%</t>
  </si>
  <si>
    <t>40.03%</t>
  </si>
  <si>
    <t>Orthopedics</t>
  </si>
  <si>
    <t>33.44%</t>
  </si>
  <si>
    <t>Orthopedics-Reconstructive</t>
  </si>
  <si>
    <t>30.17%</t>
  </si>
  <si>
    <t>HOSPITAL READMISSION ANALYSIS  |  MEDIUM LEVEL  |  M8: Weight Categories &amp; Readmission (Valid Records Only)</t>
  </si>
  <si>
    <t>Readmission Rate by Weight Category (n=2,133)</t>
  </si>
  <si>
    <t>Weight (kg)</t>
  </si>
  <si>
    <t>Top 5 Primary Diagnoses Among Patients With Valid Weight</t>
  </si>
  <si>
    <t>% of Weight-Valid Group</t>
  </si>
  <si>
    <t>7.0%</t>
  </si>
  <si>
    <t>5.5%</t>
  </si>
  <si>
    <t>5.1%</t>
  </si>
  <si>
    <t>4.1%</t>
  </si>
  <si>
    <t>4.0%</t>
  </si>
  <si>
    <t>HOSPITAL READMISSION ANALYSIS  |  MEDIUM LEVEL  |  M9: Composite Patient Burden Score Analysis</t>
  </si>
  <si>
    <t>Composite Burden = Hospital Stay (days) + (Readmitted × 3) + Prior Inpatient Visits — a proxy for total care burden</t>
  </si>
  <si>
    <t>Score Formula: Composite Burden = time_in_hospital + (readmitted × 3) + number_inpatient  |  Higher score = greater care burden on patient and hospital</t>
  </si>
  <si>
    <t>Composite Burden by Age Group</t>
  </si>
  <si>
    <t>Avg Burden Score</t>
  </si>
  <si>
    <t>Composite Burden by Comorbidity Level</t>
  </si>
  <si>
    <t>Patient satisfaction scores are NOT present in this dataset. Gap documented and alternative proxy analysis built.</t>
  </si>
  <si>
    <t>What the Dataset Has vs What's Needed</t>
  </si>
  <si>
    <t>Item</t>
  </si>
  <si>
    <t>Status</t>
  </si>
  <si>
    <t>Available Field</t>
  </si>
  <si>
    <t>Recommendation</t>
  </si>
  <si>
    <t>Patient Satisfaction Score</t>
  </si>
  <si>
    <t>Not in dataset</t>
  </si>
  <si>
    <t>Integrate HCAHPS survey data or Press Ganey scores</t>
  </si>
  <si>
    <t>Patient Complaint Data</t>
  </si>
  <si>
    <t>Link to patient relations database</t>
  </si>
  <si>
    <t>Discharge Instructions Compliance</t>
  </si>
  <si>
    <t>Add at-discharge survey field</t>
  </si>
  <si>
    <t>Patient-Reported Outcomes</t>
  </si>
  <si>
    <t>Add 30-day post-discharge call data</t>
  </si>
  <si>
    <t>Readmission (Indirect proxy)</t>
  </si>
  <si>
    <t>readmitted column</t>
  </si>
  <si>
    <t>Use as negative outcome indicator</t>
  </si>
  <si>
    <t>Time in Hospital (Indirect proxy)</t>
  </si>
  <si>
    <t>time_in_hospital</t>
  </si>
  <si>
    <t>Longer stays may reflect dissatisfaction</t>
  </si>
  <si>
    <t>Number of Medications</t>
  </si>
  <si>
    <t>num_medications</t>
  </si>
  <si>
    <t>Complexity indicator</t>
  </si>
  <si>
    <t>Alternative Proxy: Healthcare Utilization History vs Readmission</t>
  </si>
  <si>
    <t>Prior Utilization Level</t>
  </si>
  <si>
    <t>36.28%</t>
  </si>
  <si>
    <t>1 (Minimal)</t>
  </si>
  <si>
    <t>50.83%</t>
  </si>
  <si>
    <t>2-3 (Moderate)</t>
  </si>
  <si>
    <t>59.45%</t>
  </si>
  <si>
    <t>4-6 (High)</t>
  </si>
  <si>
    <t>67.27%</t>
  </si>
  <si>
    <t>7+ (Very High)</t>
  </si>
  <si>
    <t>78.03%</t>
  </si>
  <si>
    <t>DATA GAP: No patient satisfaction column found in dataset. See documentation below and alternative analysis using utilization as a proxy for patient experience.</t>
  </si>
  <si>
    <t>HOSPITAL READMISSION ANALYSIS  |  MEDIUM LEVEL  |  M10: Patient Satisfaction Analysis - Data Gap &amp; Alternative</t>
  </si>
  <si>
    <t>Insight: The composite burden score reveals that patients aged 80-90 carry the heaviest cumulative burden (6.90). The score climbs steadily with age from 3.47 (0-10 years) to 6.90 (80-90), then dips slightly for 90-100. By comorbidity: Very High comorbidity patients score significantly higher than Very Low (8.12 vs 3.82). This composite metric is more meaningful than any single measure a patient with a long stay, readmission, and prior inpatient history is far more resource-intensive than any of those factors alone. Use this score to prioritize discharge intervention resources.</t>
  </si>
  <si>
    <t>Only 3.2% of records (2,133 patients) have valid weight data findings are indicative only, not generalizable</t>
  </si>
  <si>
    <t>Insight: Very low weight patients (0-25 kg) have an 80.77% readmission rate likely representing severely ill or frail patients. The 75-100 kg and 100-125 kg groups (most common) both hover around 58-59%. The heavier groups (150+ kg) show lower readmission but with sample sizes of 8-20 patients, statistical reliability is very low. CRITICAL RECOMMENDATION: The hospital should enforce mandatory weight recording at admission. Without it, weight cannot be used as a clinical decision variable in any meaningful way.</t>
  </si>
  <si>
    <t>Top 10 specialties by patient volume prescribing patterns &amp; readmission rates</t>
  </si>
  <si>
    <t>Insight: Nephrology has the highest readmission rate (55.1%) with 17.46 avg medications - reflecting the chronic, complex nature of kidney disease. Emergency/Trauma (50.2%) is next, expected given the acute severity of cases. Interestingly, Orthopedics and Orthopedics-Reconstructive have the LOWEST readmission rates (30-33%) despite having the highest medication counts (20+). This suggests orthopedic care is procedure-driven and well-managed post-discharge. Internal Medicine has the most patients (9,460) and moderate readmission (44.2%) - making it the highest-volume improvement opportunity.</t>
  </si>
  <si>
    <t>Insight: X3 (most likely metformin or a similar first-line diabetes drug) is the standout  patients prescribed it have a 43.06% readmission rate vs 49.64% for those not prescribed it. Chi-square confirms this is statistically significant (p&lt;0.001). X10 also shows a protective effect (-3.05 pp). On the other end, X14 is concerning patients prescribed it have a 61.57% readmission rate, 13.67 pp higher. This warrants clinical review. X4 and X6 also show elevated readmission risk. These findings should guide medication protocol review for the diabetes management team.</t>
  </si>
  <si>
    <t>Insight: Chronic Bronchitis and Heart Failure patients have the highest total prior hospital contact (1.81 and 1.57 respectively), which aligns with their high readmission rates. Meanwhile, Osteoarthrosis patients have very low prior contact (0.66) and the lowest readmission rate suggesting these are mostly elective or first-time admissions for a specific condition. The pattern is clear: diagnoses tied to chronic, progressive disease generate repeat hospital contact and drive readmissions. Targeted chronic disease management programs for cardiac and respiratory patients would have the highest impact.</t>
  </si>
  <si>
    <t>Healthcare utilization patterns in the year before admission - top 10 primary diagnoses</t>
  </si>
  <si>
    <t>Top 10 Diagnoses - Prior Hospital Contact &amp; Readmission</t>
  </si>
  <si>
    <t>ICD-9 diagnosis codes mapped to clinical names - top 10 most frequent primary diagnoses</t>
  </si>
  <si>
    <t>Insight: Chronic Bronchitis (ICD 491) has the highest readmission rate at 60.45%, followed by Heart Failure (58.61%). Both also show the highest prior inpatient visit averages (0.99 and 0.95 respectively) — indicating these patients are repeat users of hospital services. Osteoarthrosis (ICD 715) has the lowest readmission rate at 35.9% and near-zero prior emergency visits (0.07). The diagnosis at admission is a strong readmission signal especially respiratory and cardiac conditions. These should be priority targets for disease management programs.</t>
  </si>
  <si>
    <t>Insight: Caucasian patients receive the most medications on average (16.28), followed by African Americans (15.39). Hispanic and Asian patients receive significantly fewer medications (14.05 and 13.18). ANOVA confirms this isn't random racial differences in medication prescribed are statistically significant (F=65.29, p&lt;0.001). Whether this reflects clinical differences, systemic bias, or access patterns requires clinical review. Age shows a clear arc: medications peak at 60-70 years (17.18 avg) and taper for very young and very elderly. Males receive slightly more procedures (1.44 vs 1.24 for females).</t>
  </si>
  <si>
    <t>Dataset has no discharge disposition column prior inpatient visits used as the closest available proxy for care complexity</t>
  </si>
  <si>
    <t>Insight: This is the strongest predictor found at medium level. Patients with NO prior inpatient history are readmitted at 38.66%. One prior inpatient stay pushes that to 54.44%. Six or more prior inpatient stays = 85.79% readmission. The pattern is nearly linear and the correlation (r=0.217, p&lt;0.001) is highly significant. These high-frequency inpatients are the hospital's most vulnerable population and the highest-ROI target for intervention programs.</t>
  </si>
  <si>
    <t>HOSPITAL READMISSION ANALYTICS</t>
  </si>
  <si>
    <t>Advanced Data Analytics Case Study | Novartis Hospital Administration</t>
  </si>
  <si>
    <t>KEY METRICS AT A GLANCE</t>
  </si>
  <si>
    <t>Readmission Rate</t>
  </si>
  <si>
    <t>Est. Annual Cost</t>
  </si>
  <si>
    <t>Avoidable Cases</t>
  </si>
  <si>
    <t>Potential Savings</t>
  </si>
  <si>
    <t>Avg. LOS (days)</t>
  </si>
  <si>
    <t>Avg. Medications</t>
  </si>
  <si>
    <t>46.2%</t>
  </si>
  <si>
    <t>$461M</t>
  </si>
  <si>
    <t>8,306</t>
  </si>
  <si>
    <t>$120M</t>
  </si>
  <si>
    <t>4.4</t>
  </si>
  <si>
    <t>16.0</t>
  </si>
  <si>
    <t>WORKBOOK NAVIGATION</t>
  </si>
  <si>
    <t>Sheet Name</t>
  </si>
  <si>
    <t>Analysis Type</t>
  </si>
  <si>
    <t>Key Question</t>
  </si>
  <si>
    <t>Methods Used</t>
  </si>
  <si>
    <t>Machine Learning</t>
  </si>
  <si>
    <t>Who is at high risk of readmission?</t>
  </si>
  <si>
    <t>Logistic Regression + Decision Tree</t>
  </si>
  <si>
    <t>Prior inpatient visits is top predictor</t>
  </si>
  <si>
    <t>Clustering</t>
  </si>
  <si>
    <t>How can we group patients by utilization?</t>
  </si>
  <si>
    <t>K-Means Clustering (4 clusters)</t>
  </si>
  <si>
    <t>High-risk cluster has 74.8% readmit rate</t>
  </si>
  <si>
    <t>Cost Analysis</t>
  </si>
  <si>
    <t>What is the financial cost of readmissions?</t>
  </si>
  <si>
    <t>Cost Modeling + Avoidability Analysis</t>
  </si>
  <si>
    <t>$120M+ in potential savings identified</t>
  </si>
  <si>
    <t>Equity Analysis</t>
  </si>
  <si>
    <t>Do race &amp; demographics drive disparities?</t>
  </si>
  <si>
    <t>Demographic Stratification + Chi-Square</t>
  </si>
  <si>
    <t>Caucasian patients have highest readmit rate</t>
  </si>
  <si>
    <t>Program Design</t>
  </si>
  <si>
    <t>What post-discharge program should we build?</t>
  </si>
  <si>
    <t>Risk Stratification + Intervention Design</t>
  </si>
  <si>
    <t>3-tier program targeting 22,635 high-risk</t>
  </si>
  <si>
    <t>Objective: Identify patients at high risk of readmission before discharge using classification models</t>
  </si>
  <si>
    <t>MODEL PERFORMANCE COMPARISON</t>
  </si>
  <si>
    <t>Logistic Regression</t>
  </si>
  <si>
    <t>Decision Tree</t>
  </si>
  <si>
    <t>Better Model</t>
  </si>
  <si>
    <t>Accuracy</t>
  </si>
  <si>
    <t>% of all predictions correct</t>
  </si>
  <si>
    <t>AUC-ROC Score</t>
  </si>
  <si>
    <t>Logistic Reg.</t>
  </si>
  <si>
    <t>Discrimination ability (0.5=random, 1=perfect)</t>
  </si>
  <si>
    <t>True Positives (Readmitted, predicted correctly)</t>
  </si>
  <si>
    <t>Correctly identified high-risk patients</t>
  </si>
  <si>
    <t>False Negatives (Missed readmissions)</t>
  </si>
  <si>
    <t>High-risk patients missed by model</t>
  </si>
  <si>
    <t>True Negatives (Non-readmit, predicted correctly)</t>
  </si>
  <si>
    <t>Low-risk patients correctly identified</t>
  </si>
  <si>
    <t>False Positives (Over-predicted readmissions)</t>
  </si>
  <si>
    <t>Low-risk patients flagged unnecessarily</t>
  </si>
  <si>
    <t>Training Set Size</t>
  </si>
  <si>
    <t>N/A</t>
  </si>
  <si>
    <t>80% of 66,587 patients</t>
  </si>
  <si>
    <t>Test Set Size</t>
  </si>
  <si>
    <t>20% of 66,587 patients</t>
  </si>
  <si>
    <t>FEATURE IMPORTANCE (Decision Tree) &amp; LOGISTIC REGRESSION COEFFICIENTS</t>
  </si>
  <si>
    <t>Feature</t>
  </si>
  <si>
    <t>DT Importance</t>
  </si>
  <si>
    <t>Impact Level</t>
  </si>
  <si>
    <t>LR Coefficient</t>
  </si>
  <si>
    <t>Direction</t>
  </si>
  <si>
    <t>Clinical Significance</t>
  </si>
  <si>
    <t>Action Recommended</t>
  </si>
  <si>
    <t>🔴 Critical</t>
  </si>
  <si>
    <t>📈 Increases Risk</t>
  </si>
  <si>
    <t>Strongest predictor – chronic/complex patients</t>
  </si>
  <si>
    <t>Flag for intensive case management</t>
  </si>
  <si>
    <t>Number of Diagnoses</t>
  </si>
  <si>
    <t>More diagnoses = higher risk</t>
  </si>
  <si>
    <t>Assign care coordinator</t>
  </si>
  <si>
    <t>Prior Emergency Visits</t>
  </si>
  <si>
    <t>🟠 High</t>
  </si>
  <si>
    <t>Frequent ER use signals instability</t>
  </si>
  <si>
    <t>Enroll in ER diversion program</t>
  </si>
  <si>
    <t>Regular outpatient care reduces risk</t>
  </si>
  <si>
    <t>Ensure follow-up appointments</t>
  </si>
  <si>
    <t>Patient Age Group</t>
  </si>
  <si>
    <t>🟡 Medium</t>
  </si>
  <si>
    <t>Older patients have higher risk</t>
  </si>
  <si>
    <t>Age-specific discharge protocols</t>
  </si>
  <si>
    <t>Diabetic Medication</t>
  </si>
  <si>
    <t>Diabetics at higher readmit risk</t>
  </si>
  <si>
    <t>Diabetes management program</t>
  </si>
  <si>
    <t>Polypharmacy associated with complexity</t>
  </si>
  <si>
    <t>Medication reconciliation at discharge</t>
  </si>
  <si>
    <t>Length of Stay</t>
  </si>
  <si>
    <t>Longer stays may reflect severity</t>
  </si>
  <si>
    <t>Extended home care services</t>
  </si>
  <si>
    <t>Lab Procedures</t>
  </si>
  <si>
    <t>🟢 Low</t>
  </si>
  <si>
    <t>More tests = more monitoring needed</t>
  </si>
  <si>
    <t>Review test utilization patterns</t>
  </si>
  <si>
    <t>Non-Lab Procedures</t>
  </si>
  <si>
    <t>📉 Decreases Risk</t>
  </si>
  <si>
    <t>Surgical procedures impact recovery</t>
  </si>
  <si>
    <t>Enhanced surgical recovery program</t>
  </si>
  <si>
    <t>Race / Ethnicity</t>
  </si>
  <si>
    <t>May reflect access disparities</t>
  </si>
  <si>
    <t>Culturally competent care programs</t>
  </si>
  <si>
    <t>⚪ Minimal</t>
  </si>
  <si>
    <t>Minimal predictive power</t>
  </si>
  <si>
    <t>No specific action required</t>
  </si>
  <si>
    <t>Med Change</t>
  </si>
  <si>
    <t>No significant impact</t>
  </si>
  <si>
    <t>Monitor medication adherence</t>
  </si>
  <si>
    <t>Objective: Group patients by healthcare utilization patterns to enable differentiated care strategies</t>
  </si>
  <si>
    <t>K-MEANS CLUSTER PROFILES (4 Segments)</t>
  </si>
  <si>
    <t>Risk Tier</t>
  </si>
  <si>
    <t>Segment Name</t>
  </si>
  <si>
    <t>Readmit Rate</t>
  </si>
  <si>
    <t>Avg Inpatient</t>
  </si>
  <si>
    <t>Avg Emergency</t>
  </si>
  <si>
    <t>Avg LOS (days)</t>
  </si>
  <si>
    <t>Avg Lab Procs</t>
  </si>
  <si>
    <t>% of Total</t>
  </si>
  <si>
    <t>Recommended Strategy</t>
  </si>
  <si>
    <t>Frequent, Complex Patients</t>
  </si>
  <si>
    <t>Intensive case management, 24/7 nurse hotline, home visits</t>
  </si>
  <si>
    <t>🟠 Elevated Risk</t>
  </si>
  <si>
    <t>Multi-Condition Chronic</t>
  </si>
  <si>
    <t>Chronic disease management, telehealth check-ins weekly</t>
  </si>
  <si>
    <t>🟡 Moderate Risk</t>
  </si>
  <si>
    <t>Moderate Utilizers</t>
  </si>
  <si>
    <t>Post-discharge call at Day 3, Day 7, Day 14, PCP follow-up</t>
  </si>
  <si>
    <t>🟢 Low Risk</t>
  </si>
  <si>
    <t>Low Utilization Patients</t>
  </si>
  <si>
    <t>Standard discharge education, 30-day PCP appointment</t>
  </si>
  <si>
    <t>SEGMENT CHARACTERISTICS &amp; CLINICAL INTERPRETATION</t>
  </si>
  <si>
    <t>Segment</t>
  </si>
  <si>
    <t>Defining Characteristics</t>
  </si>
  <si>
    <t>Clinical Profile</t>
  </si>
  <si>
    <t>Primary Risk Drivers</t>
  </si>
  <si>
    <t>Avg Prior Visits (Total)</t>
  </si>
  <si>
    <t>Complexity Score</t>
  </si>
  <si>
    <t>Intervention Priority</t>
  </si>
  <si>
    <t>Estimated Annual Savings/Patient</t>
  </si>
  <si>
    <t>Recommended Program</t>
  </si>
  <si>
    <t>Contact Frequency</t>
  </si>
  <si>
    <t>Key Metrics to Track</t>
  </si>
  <si>
    <t>Expected Readmit Reduction</t>
  </si>
  <si>
    <t>High inpatient + emergency utilization, complex</t>
  </si>
  <si>
    <t>Frequent flyers — likely chronic disease with acute exacerbations</t>
  </si>
  <si>
    <t>Prior hospitalizations, multiple comorbidities</t>
  </si>
  <si>
    <t>Critical</t>
  </si>
  <si>
    <t>$8,500</t>
  </si>
  <si>
    <t>Intensive Case Management</t>
  </si>
  <si>
    <t>Daily (week 1), 3x/week (month 1)</t>
  </si>
  <si>
    <t>Hospital visits, medication adherence, vitals</t>
  </si>
  <si>
    <t>25-35%</t>
  </si>
  <si>
    <t>Multiple diagnoses, moderate ER use</t>
  </si>
  <si>
    <t>Chronic disease patients needing better management</t>
  </si>
  <si>
    <t>Inadequate outpatient follow-up, medication gaps</t>
  </si>
  <si>
    <t>High</t>
  </si>
  <si>
    <t>$5,200</t>
  </si>
  <si>
    <t>Chronic Disease Management Program</t>
  </si>
  <si>
    <t>3x/week (week 1), Weekly (month 1)</t>
  </si>
  <si>
    <t>Disease-specific labs, symptom monitoring</t>
  </si>
  <si>
    <t>15-25%</t>
  </si>
  <si>
    <t>Average utilization, some diagnoses</t>
  </si>
  <si>
    <t>General medical patients with manageable conditions</t>
  </si>
  <si>
    <t>Discharge gaps, poor follow-up adherence</t>
  </si>
  <si>
    <t>Moderate</t>
  </si>
  <si>
    <t>$2,800</t>
  </si>
  <si>
    <t>Standard Follow-Up Program</t>
  </si>
  <si>
    <t>Day 3, Day 7, Day 14, Day 30</t>
  </si>
  <si>
    <t>PCP visit attendance, medication compliance</t>
  </si>
  <si>
    <t>10-15%</t>
  </si>
  <si>
    <t>Low utilization, fewer diagnoses</t>
  </si>
  <si>
    <t>Relatively healthy, episodic care needs</t>
  </si>
  <si>
    <t>Minimal — mostly social/environmental factors</t>
  </si>
  <si>
    <t>Low</t>
  </si>
  <si>
    <t>$800</t>
  </si>
  <si>
    <t>Education &amp; Self-Management</t>
  </si>
  <si>
    <t>Day 7, Day 30 check-in only</t>
  </si>
  <si>
    <t>Self-reported symptoms, follow-up attendance</t>
  </si>
  <si>
    <t>5-10%</t>
  </si>
  <si>
    <t>PATIENT SEGMENTATION ANALYSIS</t>
  </si>
  <si>
    <t>READMISSION PREDICTION MODEL</t>
  </si>
  <si>
    <t>Objective: Quantify the financial burden of readmissions and identify avoidable cost savings opportunities</t>
  </si>
  <si>
    <t>📌 COST ASSUMPTIONS (Adjustable - Blue Cells)</t>
  </si>
  <si>
    <t>Parameter</t>
  </si>
  <si>
    <t>Unit</t>
  </si>
  <si>
    <t>Source</t>
  </si>
  <si>
    <t>Notes</t>
  </si>
  <si>
    <t>Cost per Readmission</t>
  </si>
  <si>
    <t>USD</t>
  </si>
  <si>
    <t>CMS/Industry Average</t>
  </si>
  <si>
    <t>Average cost of an unplanned readmission</t>
  </si>
  <si>
    <t>Cost per Initial Stay</t>
  </si>
  <si>
    <t>Industry Benchmark</t>
  </si>
  <si>
    <t>Average initial hospitalization cost</t>
  </si>
  <si>
    <t>% Avoidable Readmissions</t>
  </si>
  <si>
    <t>%</t>
  </si>
  <si>
    <t>AHRQ (Agency for Healthcare Research)</t>
  </si>
  <si>
    <t>27% of readmissions considered preventable</t>
  </si>
  <si>
    <t>Intervention Cost per Patient</t>
  </si>
  <si>
    <t>Internal Estimate</t>
  </si>
  <si>
    <t>Cost of follow-up program per patient</t>
  </si>
  <si>
    <t>Medicare Penalty Rate</t>
  </si>
  <si>
    <t>Hospital Readmissions Reduction Program</t>
  </si>
  <si>
    <t>Medicare payment reduction for excess readmissions</t>
  </si>
  <si>
    <t>Annual Revenue Base</t>
  </si>
  <si>
    <t>Estimated annual hospital revenue</t>
  </si>
  <si>
    <t>CORE FINANCIAL ANALYSIS</t>
  </si>
  <si>
    <t>Formula/Calculation</t>
  </si>
  <si>
    <t>Total Patients in Dataset</t>
  </si>
  <si>
    <t>Direct count from data</t>
  </si>
  <si>
    <t>100%</t>
  </si>
  <si>
    <t>Full dataset</t>
  </si>
  <si>
    <t>Total Readmitted (&lt;30 days)</t>
  </si>
  <si>
    <t>Sum of readmitted=1</t>
  </si>
  <si>
    <t>Patients readmitted</t>
  </si>
  <si>
    <t>Low-risk patients</t>
  </si>
  <si>
    <t>Significantly above 15% national benchmark</t>
  </si>
  <si>
    <t>Cost of ALL Readmissions</t>
  </si>
  <si>
    <t>Total financial burden</t>
  </si>
  <si>
    <t>Avoidable Readmissions (27%)</t>
  </si>
  <si>
    <t>Clinically preventable cases</t>
  </si>
  <si>
    <t>Avoidable Readmission Cost</t>
  </si>
  <si>
    <t>Direct avoidable cost</t>
  </si>
  <si>
    <t>Unavoidable Readmissions</t>
  </si>
  <si>
    <t>Clinically necessary</t>
  </si>
  <si>
    <t>Unavoidable Readmission Cost</t>
  </si>
  <si>
    <t>Baseline unavoidable cost</t>
  </si>
  <si>
    <t>Intervention Total Cost</t>
  </si>
  <si>
    <t>Cost to run prevention program</t>
  </si>
  <si>
    <t>Net Savings (Avoidable Cost - Intervention)</t>
  </si>
  <si>
    <t>Potential net financial savings</t>
  </si>
  <si>
    <t>ROI on Intervention Program</t>
  </si>
  <si>
    <t>Return on investment for follow-up program</t>
  </si>
  <si>
    <t>Medicare Penalty (Est.)</t>
  </si>
  <si>
    <t>Potential CMS penalty if rates not reduced</t>
  </si>
  <si>
    <t>Total Financial Risk</t>
  </si>
  <si>
    <t>Readmission cost + Medicare penalty</t>
  </si>
  <si>
    <t>READMISSION RATE BY MEDICAL SPECIALTY (Top 10)</t>
  </si>
  <si>
    <t>Estimated Cost Impact</t>
  </si>
  <si>
    <t>Pulmonology</t>
  </si>
  <si>
    <t>FINANCIAL IMPACT ANALYSIS OF READMISSIONS</t>
  </si>
  <si>
    <t>Objective: Identify demographic disparities in readmission rates and design targeted equity interventions</t>
  </si>
  <si>
    <t>READMISSION RATES BY RACE / ETHNICITY</t>
  </si>
  <si>
    <t>Race/Ethnicity</t>
  </si>
  <si>
    <t>vs. Average</t>
  </si>
  <si>
    <t>Avg Emergency Visits</t>
  </si>
  <si>
    <t>Avg LOS</t>
  </si>
  <si>
    <t>Risk Level</t>
  </si>
  <si>
    <t>Recommended Intervention</t>
  </si>
  <si>
    <t>Cultural competency training, community health workers, SDOH screening</t>
  </si>
  <si>
    <t>Culturally tailored education, language access programs</t>
  </si>
  <si>
    <t>Spanish-language materials, interpreter services, community outreach</t>
  </si>
  <si>
    <t>Individualized assessment, social worker referral</t>
  </si>
  <si>
    <t>READMISSION RATES BY AGE GROUP &amp; GENDER</t>
  </si>
  <si>
    <t>Female Count</t>
  </si>
  <si>
    <t>Female Readmit Rate</t>
  </si>
  <si>
    <t>Male Count</t>
  </si>
  <si>
    <t>Male Readmit Rate</t>
  </si>
  <si>
    <t>Gender Gap</t>
  </si>
  <si>
    <t>Overall Rate</t>
  </si>
  <si>
    <t>Vulnerable Group</t>
  </si>
  <si>
    <t>Age-Specific Intervention</t>
  </si>
  <si>
    <t>Females</t>
  </si>
  <si>
    <t>Pediatric follow-up, parent/caregiver education</t>
  </si>
  <si>
    <t>Youth-friendly communication, family engagement</t>
  </si>
  <si>
    <t>Digital health tools, telehealth check-ins</t>
  </si>
  <si>
    <t>Males</t>
  </si>
  <si>
    <t>Work-life balance support, mental health screening</t>
  </si>
  <si>
    <t>Chronic disease prevention, lifestyle coaching</t>
  </si>
  <si>
    <t>Preventive screenings, medication management</t>
  </si>
  <si>
    <t>Comprehensive geriatric assessment, polypharmacy review</t>
  </si>
  <si>
    <t>Home health services, caregiver support programs</t>
  </si>
  <si>
    <t>Skilled nursing referrals, fall prevention, palliative care</t>
  </si>
  <si>
    <t>Comfort care focus, family/caregiver coordination</t>
  </si>
  <si>
    <t>KEY DISPARITY FINDINGS &amp; RECOMMENDED INTERVENTIONS</t>
  </si>
  <si>
    <t>KEY FINDINGS: (1) Caucasian patients have the highest absolute readmission count (23,477) due to population size. (2) AfricanAmerican patients show higher emergency visit rates (0.26 vs 0.19 avg), suggesting healthcare access barriers. (3) Female patients 80-90 years old show the highest readmission rate (48.7%). (4) Young adults (10-20) show concerning readmission rates (~39-49%), indicating gaps in transition care. (5) Patients 90+ actually show lower rates (39%), possibly due to palliative/comfort care focus.</t>
  </si>
  <si>
    <t>Objective: Design a comprehensive, risk-stratified follow-up program to reduce readmissions by 20-30% within 12 months</t>
  </si>
  <si>
    <t>RISK STRATIFICATION ENGINE</t>
  </si>
  <si>
    <t>Criteria</t>
  </si>
  <si>
    <t>% of Patients</t>
  </si>
  <si>
    <t>Actual Readmit Rate</t>
  </si>
  <si>
    <t>Target Reduction</t>
  </si>
  <si>
    <t>Post-Program Rate</t>
  </si>
  <si>
    <t>Patients Saved</t>
  </si>
  <si>
    <t>Cost Saved</t>
  </si>
  <si>
    <t>Program Investment</t>
  </si>
  <si>
    <t>Net ROI</t>
  </si>
  <si>
    <t>Risk Score &gt; 66th percentile
Prior inpatient &gt;2 OR Emergency &gt;2
Diabetes + polypharmacy</t>
  </si>
  <si>
    <t>Risk Score 33rd-66th percentile
Prior inpatient 1-2 OR Emergency 1</t>
  </si>
  <si>
    <t>Risk Score &lt; 33rd percentile
No prior hospitalizations
Few diagnoses</t>
  </si>
  <si>
    <t>All patients</t>
  </si>
  <si>
    <t>PROGRAM TIMELINE — POST-DISCHARGE TOUCHPOINTS</t>
  </si>
  <si>
    <t>Timing</t>
  </si>
  <si>
    <t>High Risk Action</t>
  </si>
  <si>
    <t>Medium Risk Action</t>
  </si>
  <si>
    <t>Low Risk Action</t>
  </si>
  <si>
    <t>Contact Method</t>
  </si>
  <si>
    <t>Responsible Staff</t>
  </si>
  <si>
    <t>Duration</t>
  </si>
  <si>
    <t>Key Questions/Assessments</t>
  </si>
  <si>
    <t>Red Flags → Escalate</t>
  </si>
  <si>
    <t>Documentation Required</t>
  </si>
  <si>
    <t>Goal/Outcome</t>
  </si>
  <si>
    <t>Day 0 (Discharge)</t>
  </si>
  <si>
    <t>Warm handoff to case manager, 24hr nurse line, home health referral, medication reconciliation</t>
  </si>
  <si>
    <t>Discharge education, written instructions, PCP appointment scheduled</t>
  </si>
  <si>
    <t>Standard discharge paperwork, patient education sheet</t>
  </si>
  <si>
    <t>In-person</t>
  </si>
  <si>
    <t>Discharge Nurse + Case Manager</t>
  </si>
  <si>
    <t>60 min</t>
  </si>
  <si>
    <t>Medication understanding, follow-up plan, caregiver availability</t>
  </si>
  <si>
    <t>No follow-up care arranged, lives alone, no transportation</t>
  </si>
  <si>
    <t>Discharge checklist, care plan in EMR</t>
  </si>
  <si>
    <t>Safe discharge, clear plan</t>
  </si>
  <si>
    <t>Day 1-2</t>
  </si>
  <si>
    <t>Phone call: vitals, symptoms, medication adherence check</t>
  </si>
  <si>
    <t>Automated text/IVR: symptom screening</t>
  </si>
  <si>
    <t>No contact required unless flagged</t>
  </si>
  <si>
    <t>Phone / Automated</t>
  </si>
  <si>
    <t>RN Care Coordinator</t>
  </si>
  <si>
    <t>15-20 min</t>
  </si>
  <si>
    <t>Pain level, fever, shortness of breath, wound condition</t>
  </si>
  <si>
    <t>Worsening symptoms, medication confusion, missed prescriptions</t>
  </si>
  <si>
    <t>Call notes in care management system</t>
  </si>
  <si>
    <t>Early symptom detection</t>
  </si>
  <si>
    <t>Day 3</t>
  </si>
  <si>
    <t>RN phone assessment + telehealth video if needed</t>
  </si>
  <si>
    <t>RN phone call: symptom check, PCP appointment confirmation</t>
  </si>
  <si>
    <t>Optional check-in SMS</t>
  </si>
  <si>
    <t>Phone + Telehealth</t>
  </si>
  <si>
    <t>Registered Nurse</t>
  </si>
  <si>
    <t>20-30 min</t>
  </si>
  <si>
    <t>Functional status, medication adherence, nutritional intake</t>
  </si>
  <si>
    <t>ER visit since discharge, symptoms unchanged/worsening</t>
  </si>
  <si>
    <t>LACE score, clinical notes</t>
  </si>
  <si>
    <t>Prevent early deterioration</t>
  </si>
  <si>
    <t>Day 7</t>
  </si>
  <si>
    <t>Home visit by community health worker OR telehealth with physician</t>
  </si>
  <si>
    <t>Phone call: PCP visit completed?, new symptoms?</t>
  </si>
  <si>
    <t>Automated check-in call</t>
  </si>
  <si>
    <t>Home Visit / Phone</t>
  </si>
  <si>
    <t>Community Health Worker + MD</t>
  </si>
  <si>
    <t>45-60 min (home)</t>
  </si>
  <si>
    <t>Home safety assessment, social support, fall risk</t>
  </si>
  <si>
    <t>Social isolation, unsafe home, caregiver burnout</t>
  </si>
  <si>
    <t>Home assessment form, updated care plan</t>
  </si>
  <si>
    <t>Address social barriers</t>
  </si>
  <si>
    <t>Day 14</t>
  </si>
  <si>
    <t>Multidisciplinary team review, medication adjustment if needed</t>
  </si>
  <si>
    <t>Phone call: overall status, any ER visits?</t>
  </si>
  <si>
    <t>No standard contact</t>
  </si>
  <si>
    <t>Phone + MDT Meeting</t>
  </si>
  <si>
    <t>Care Team (MD, RN, SW, Pharmacist)</t>
  </si>
  <si>
    <t>30 min call</t>
  </si>
  <si>
    <t>Disease-specific indicators, readmission risk re-assessment</t>
  </si>
  <si>
    <t>Two or more ER visits since discharge, medication non-adherence</t>
  </si>
  <si>
    <t>MDT notes, updated risk score</t>
  </si>
  <si>
    <t>Mid-point assessment</t>
  </si>
  <si>
    <t>Day 30</t>
  </si>
  <si>
    <t>In-person clinic visit or home visit, 30-day outcome review</t>
  </si>
  <si>
    <t>Phone call or clinic follow-up</t>
  </si>
  <si>
    <t>Optional: satisfaction survey</t>
  </si>
  <si>
    <t>In-person preferred</t>
  </si>
  <si>
    <t>Primary Care Physician</t>
  </si>
  <si>
    <t>30-45 min</t>
  </si>
  <si>
    <t>Overall recovery, quality of life, chronic disease control</t>
  </si>
  <si>
    <t>Any readmission, significant functional decline</t>
  </si>
  <si>
    <t>30-day outcomes in EMR</t>
  </si>
  <si>
    <t>Successful program completion</t>
  </si>
  <si>
    <t>Day 60-90</t>
  </si>
  <si>
    <t>Transition to chronic disease management program</t>
  </si>
  <si>
    <t>Monthly check-in call</t>
  </si>
  <si>
    <t>Discharge from program</t>
  </si>
  <si>
    <t>Phone / Clinic</t>
  </si>
  <si>
    <t>Care Coordinator / PCP</t>
  </si>
  <si>
    <t>Long-term management plan, specialist follow-ups</t>
  </si>
  <si>
    <t>Disease exacerbation, hospital re-encounter</t>
  </si>
  <si>
    <t>Final program notes, outcome summary</t>
  </si>
  <si>
    <t>Sustainable long-term management</t>
  </si>
  <si>
    <t>PROGRAM STAFFING &amp; RESOURCE REQUIREMENTS</t>
  </si>
  <si>
    <t>Role</t>
  </si>
  <si>
    <t>FTE Required</t>
  </si>
  <si>
    <t>Focus Population</t>
  </si>
  <si>
    <t>Primary Responsibilities</t>
  </si>
  <si>
    <t>Technology Tools</t>
  </si>
  <si>
    <t>Training Required</t>
  </si>
  <si>
    <t>Monthly Touchpoints</t>
  </si>
  <si>
    <t>Cost per FTE/yr</t>
  </si>
  <si>
    <t>Total Annual Cost</t>
  </si>
  <si>
    <t>Key Performance Metrics</t>
  </si>
  <si>
    <t>Success Criteria</t>
  </si>
  <si>
    <t>High Risk patients</t>
  </si>
  <si>
    <t>Clinical assessment, care plan management, escalation</t>
  </si>
  <si>
    <t>EMR, Care Management Platform, Telehealth</t>
  </si>
  <si>
    <t>Chronic disease, care coordination (40hrs)</t>
  </si>
  <si>
    <t>Cases managed, escalation rate, readmit rate</t>
  </si>
  <si>
    <t>&lt; 35% readmit rate in caseload</t>
  </si>
  <si>
    <t>Community Health Worker</t>
  </si>
  <si>
    <t>High + Medium Risk</t>
  </si>
  <si>
    <t>Home visits, social support, community resources</t>
  </si>
  <si>
    <t>Mobile app, GPS, EMR access</t>
  </si>
  <si>
    <t>Motivational interviewing, SDOH (24hrs)</t>
  </si>
  <si>
    <t>Home visits completed, social referrals made</t>
  </si>
  <si>
    <t>&gt; 85% visit completion rate</t>
  </si>
  <si>
    <t>Pharmacist (Clinical)</t>
  </si>
  <si>
    <t>All Risk Tiers</t>
  </si>
  <si>
    <t>Medication reconciliation, counseling, adherence</t>
  </si>
  <si>
    <t>Medication management software, EMR</t>
  </si>
  <si>
    <t>Discharge pharmacology (16hrs)</t>
  </si>
  <si>
    <t>Medication errors prevented, adherence rates</t>
  </si>
  <si>
    <t>&lt; 5% medication-related readmissions</t>
  </si>
  <si>
    <t>Social Worker</t>
  </si>
  <si>
    <t>SDOH screening, insurance navigation, housing</t>
  </si>
  <si>
    <t>Case management software, resource database</t>
  </si>
  <si>
    <t>SDOH assessment tools (20hrs)</t>
  </si>
  <si>
    <t>SDOH screens completed, referral conversion</t>
  </si>
  <si>
    <t>&gt; 70% social need resolution</t>
  </si>
  <si>
    <t>Data Analyst</t>
  </si>
  <si>
    <t>Program-wide</t>
  </si>
  <si>
    <t>Risk scoring, outcomes tracking, reporting</t>
  </si>
  <si>
    <t>Analytics platform, EMR, Excel/BI tools</t>
  </si>
  <si>
    <t>Healthcare analytics (ongoing)</t>
  </si>
  <si>
    <t>Dashboard accuracy, report timeliness</t>
  </si>
  <si>
    <t>Real-time program dashboards</t>
  </si>
  <si>
    <t>Program Manager</t>
  </si>
  <si>
    <t>Program oversight, staff coordination, quality improvement</t>
  </si>
  <si>
    <t>Project management tools, EMR, reporting</t>
  </si>
  <si>
    <t>Healthcare QI, leadership (ongoing)</t>
  </si>
  <si>
    <t>Program KPIs, staff retention, budget management</t>
  </si>
  <si>
    <t>All KPIs met, &lt;5% staff turnover</t>
  </si>
  <si>
    <t>TOTAL</t>
  </si>
  <si>
    <t>PROGRAM KPI DASHBOARD &amp; SUCCESS METRICS</t>
  </si>
  <si>
    <t>KPI</t>
  </si>
  <si>
    <t>Baseline (Current)</t>
  </si>
  <si>
    <t>3-Month Target</t>
  </si>
  <si>
    <t>6-Month Target</t>
  </si>
  <si>
    <t>12-Month Target</t>
  </si>
  <si>
    <t>Measurement Method</t>
  </si>
  <si>
    <t>Frequency</t>
  </si>
  <si>
    <t>Owner</t>
  </si>
  <si>
    <t>Alert Threshold</t>
  </si>
  <si>
    <t>42%</t>
  </si>
  <si>
    <t>38%</t>
  </si>
  <si>
    <t>35%</t>
  </si>
  <si>
    <t>EMR readmission tracking</t>
  </si>
  <si>
    <t>Monthly</t>
  </si>
  <si>
    <t>&gt; 45% trigger review</t>
  </si>
  <si>
    <t>Primary program KPI</t>
  </si>
  <si>
    <t>High-Risk Readmit Rate</t>
  </si>
  <si>
    <t>60.7%</t>
  </si>
  <si>
    <t>52%</t>
  </si>
  <si>
    <t>47%</t>
  </si>
  <si>
    <t>Risk tier tracking system</t>
  </si>
  <si>
    <t>RN Coordinator</t>
  </si>
  <si>
    <t>&gt; 58% escalate</t>
  </si>
  <si>
    <t>Most important subgroup</t>
  </si>
  <si>
    <t>30-day Follow-up Rate</t>
  </si>
  <si>
    <t>~0% (baseline)</t>
  </si>
  <si>
    <t>60%</t>
  </si>
  <si>
    <t>75%</t>
  </si>
  <si>
    <t>90%</t>
  </si>
  <si>
    <t>Care management platform</t>
  </si>
  <si>
    <t>Weekly</t>
  </si>
  <si>
    <t>&lt; 50% trigger review</t>
  </si>
  <si>
    <t>Adherence to program</t>
  </si>
  <si>
    <t>Medication Adherence Rate</t>
  </si>
  <si>
    <t>~60% estimated</t>
  </si>
  <si>
    <t>70%</t>
  </si>
  <si>
    <t>80%</t>
  </si>
  <si>
    <t>85%</t>
  </si>
  <si>
    <t>Pharmacy refill data</t>
  </si>
  <si>
    <t>Clinical Pharmacist</t>
  </si>
  <si>
    <t>&lt; 65% trigger review</t>
  </si>
  <si>
    <t>Key modifiable factor</t>
  </si>
  <si>
    <t>PCP Visit within 7 days</t>
  </si>
  <si>
    <t>~30% estimated</t>
  </si>
  <si>
    <t>50%</t>
  </si>
  <si>
    <t>65%</t>
  </si>
  <si>
    <t>EMR appointment tracking</t>
  </si>
  <si>
    <t>Care Coordinator</t>
  </si>
  <si>
    <t>&lt; 40% trigger review</t>
  </si>
  <si>
    <t>Strong predictor of success</t>
  </si>
  <si>
    <t>Baseline TBD</t>
  </si>
  <si>
    <t>3.5/5</t>
  </si>
  <si>
    <t>4.0/5</t>
  </si>
  <si>
    <t>4.5/5</t>
  </si>
  <si>
    <t>Post-discharge survey</t>
  </si>
  <si>
    <t>&lt; 3.0 escalate</t>
  </si>
  <si>
    <t>HCAHPS adaptation</t>
  </si>
  <si>
    <t>Avoidable Readmissions</t>
  </si>
  <si>
    <t>8,306 (annualized)</t>
  </si>
  <si>
    <t>6,500</t>
  </si>
  <si>
    <t>5,000</t>
  </si>
  <si>
    <t>4,000</t>
  </si>
  <si>
    <t>Clinical classification review</t>
  </si>
  <si>
    <t>Quarterly</t>
  </si>
  <si>
    <t>Medical Director</t>
  </si>
  <si>
    <t>&gt; 8,000 escalate</t>
  </si>
  <si>
    <t>Requires clinical judgment</t>
  </si>
  <si>
    <t>Net Program Savings</t>
  </si>
  <si>
    <t>$ Baseline</t>
  </si>
  <si>
    <t>$3M</t>
  </si>
  <si>
    <t>$8M</t>
  </si>
  <si>
    <t>$15M</t>
  </si>
  <si>
    <t>Finance department tracking</t>
  </si>
  <si>
    <t>CFO / Finance</t>
  </si>
  <si>
    <t>&lt; $1M Q1 review</t>
  </si>
  <si>
    <t>Primary financial KPI</t>
  </si>
  <si>
    <t>POST-DISCHARGE FOLLOW-UP PROGRAM DESIGN</t>
  </si>
  <si>
    <t>SOCIAL DETERMINANTS OF HEALTH ANALYSIS</t>
  </si>
  <si>
    <t>HIGH RISK</t>
  </si>
  <si>
    <t>MEDIUM RISK</t>
  </si>
  <si>
    <t>LOW RISK</t>
  </si>
  <si>
    <t>High Risk</t>
  </si>
  <si>
    <t>Elevated Risk</t>
  </si>
  <si>
    <t>Moderate Risk</t>
  </si>
  <si>
    <t>Low Risk</t>
  </si>
  <si>
    <t>3rd Priority - Within 1 week</t>
  </si>
  <si>
    <t>Routine - Standard Discharge</t>
  </si>
  <si>
    <t>2nd Priority - Within 48hrs</t>
  </si>
  <si>
    <t>1st Priority - Immediate</t>
  </si>
  <si>
    <t>Prediction Model</t>
  </si>
  <si>
    <t>Patient Segments</t>
  </si>
  <si>
    <t>Financial Impact</t>
  </si>
  <si>
    <t>Social Determinants</t>
  </si>
  <si>
    <t>Follow-Up Program</t>
  </si>
  <si>
    <t xml:space="preserve"> AVAILABLE</t>
  </si>
  <si>
    <t>AVAILABLE</t>
  </si>
  <si>
    <t>MISSING</t>
  </si>
  <si>
    <t>High utilization (many prior visits across all channels) often reflects poor disease management experience - a likely correlate of lower patient satisfaction.</t>
  </si>
  <si>
    <t>Insight: Patient satisfaction data is absent from this dataset  a significant gap for a healthcare analytics study. Without it, we cannot directly measure the satisfaction-readmission link. However, patients with 7+ prior utilization events have a significantly higher readmission rate (68.8%+) vs those with no prior contact (40.5%). High utilization likely signals poorly managed chronic conditions, which in turn often correlates with lower satisfaction. RECOMMENDATION: The hospital should integrate HCAHPS or equivalent survey data with this admissions dataset for a complete picture. A 30-day post-discharge follow-up call dataset would be especially valuable.</t>
  </si>
  <si>
    <t>DATA QUALITY WARNING: 96.8% of weight records are missing ('?'). 64,454 of 66,587 patients have no weight data. Results below are for 2,133 patients only.</t>
  </si>
  <si>
    <t>Below Avg</t>
  </si>
  <si>
    <t>Above Avg</t>
  </si>
  <si>
    <t>Standard program highest volume, focus on chronic disease</t>
  </si>
  <si>
    <t>Needs Improvement</t>
  </si>
  <si>
    <t>New Metric</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</si>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</sst>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
    <numFmt numFmtId="168" formatCode="0.0\x"/>
    <numFmt numFmtId="169" formatCode="\+0.0%;\-0.0%"/>
  </numFmts>
  <fonts count="40" x14ac:knownFonts="1">
    <font>
      <sz val="11"/>
      <color theme="1"/>
      <name val="Aptos Narrow"/>
      <family val="2"/>
      <scheme val="minor"/>
    </font>
    <font>
      <b/>
      <sz val="22"/>
      <color rgb="FFFFFFFF"/>
      <name val="Arial"/>
      <family val="2"/>
    </font>
    <font>
      <sz val="12"/>
      <color rgb="FFFFFFFF"/>
      <name val="Arial"/>
      <family val="2"/>
    </font>
    <font>
      <b/>
      <sz val="11"/>
      <color rgb="FF1F3864"/>
      <name val="Arial"/>
      <family val="2"/>
    </font>
    <font>
      <b/>
      <sz val="10"/>
      <color rgb="FFFFFFFF"/>
      <name val="Arial"/>
      <family val="2"/>
    </font>
    <font>
      <b/>
      <sz val="10"/>
      <color rgb="FF000000"/>
      <name val="Arial"/>
      <family val="2"/>
    </font>
    <font>
      <sz val="10"/>
      <color rgb="FF000000"/>
      <name val="Arial"/>
      <family val="2"/>
    </font>
    <font>
      <b/>
      <sz val="14"/>
      <color rgb="FFFFFFFF"/>
      <name val="Arial"/>
      <family val="2"/>
    </font>
    <font>
      <b/>
      <sz val="12"/>
      <color rgb="FFFFFFFF"/>
      <name val="Arial"/>
      <family val="2"/>
    </font>
    <font>
      <b/>
      <sz val="10"/>
      <color rgb="FF1F3864"/>
      <name val="Arial"/>
      <family val="2"/>
    </font>
    <font>
      <i/>
      <sz val="9.5"/>
      <color rgb="FF595959"/>
      <name val="Arial"/>
      <family val="2"/>
    </font>
    <font>
      <b/>
      <sz val="11"/>
      <color rgb="FFFFFFFF"/>
      <name val="Arial"/>
      <family val="2"/>
    </font>
    <font>
      <sz val="12"/>
      <color rgb="FFFFFFFF"/>
      <name val="Book Antiqua"/>
      <family val="1"/>
    </font>
    <font>
      <b/>
      <sz val="12"/>
      <color rgb="FFFFFFFF"/>
      <name val="Book Antiqua"/>
      <family val="1"/>
    </font>
    <font>
      <sz val="12"/>
      <color theme="1"/>
      <name val="Book Antiqua"/>
      <family val="1"/>
    </font>
    <font>
      <b/>
      <sz val="12"/>
      <color rgb="FF1F3864"/>
      <name val="Book Antiqua"/>
      <family val="1"/>
    </font>
    <font>
      <b/>
      <sz val="12"/>
      <color rgb="FFED7D31"/>
      <name val="Book Antiqua"/>
      <family val="1"/>
    </font>
    <font>
      <b/>
      <sz val="12"/>
      <color rgb="FF000000"/>
      <name val="Book Antiqua"/>
      <family val="1"/>
    </font>
    <font>
      <sz val="12"/>
      <color rgb="FF000000"/>
      <name val="Book Antiqua"/>
      <family val="1"/>
    </font>
    <font>
      <i/>
      <sz val="11"/>
      <color rgb="FF595959"/>
      <name val="Arial"/>
      <family val="2"/>
    </font>
    <font>
      <sz val="11"/>
      <color theme="1"/>
      <name val="Arial"/>
      <family val="2"/>
    </font>
    <font>
      <b/>
      <sz val="11"/>
      <color rgb="FF000000"/>
      <name val="Arial"/>
      <family val="2"/>
    </font>
    <font>
      <sz val="11"/>
      <color rgb="FF000000"/>
      <name val="Arial"/>
      <family val="2"/>
    </font>
    <font>
      <sz val="11"/>
      <color theme="1"/>
      <name val="Calibri"/>
      <family val="2"/>
      <charset val="1"/>
    </font>
    <font>
      <i/>
      <sz val="10"/>
      <color rgb="FFFFFFFF"/>
      <name val="Arial"/>
      <family val="2"/>
    </font>
    <font>
      <i/>
      <sz val="9"/>
      <color rgb="FF595959"/>
      <name val="Arial"/>
      <family val="2"/>
    </font>
    <font>
      <i/>
      <sz val="10"/>
      <color rgb="FF595959"/>
      <name val="Arial"/>
      <family val="2"/>
    </font>
    <font>
      <b/>
      <sz val="28"/>
      <color rgb="FFFFFFFF"/>
      <name val="Calibri"/>
      <family val="2"/>
    </font>
    <font>
      <sz val="13"/>
      <color rgb="FFBDD7EE"/>
      <name val="Calibri"/>
      <family val="2"/>
    </font>
    <font>
      <b/>
      <sz val="12"/>
      <color rgb="FF1F3864"/>
      <name val="Calibri"/>
      <family val="2"/>
    </font>
    <font>
      <b/>
      <sz val="9"/>
      <color rgb="FFFFFFFF"/>
      <name val="Calibri"/>
      <family val="2"/>
    </font>
    <font>
      <b/>
      <sz val="16"/>
      <color rgb="FF1F3864"/>
      <name val="Calibri"/>
      <family val="2"/>
    </font>
    <font>
      <b/>
      <sz val="16"/>
      <color rgb="FF595959"/>
      <name val="Calibri"/>
      <family val="2"/>
    </font>
    <font>
      <b/>
      <sz val="11"/>
      <color rgb="FFFFFFFF"/>
      <name val="Calibri"/>
      <family val="2"/>
    </font>
    <font>
      <sz val="10"/>
      <color rgb="FF000000"/>
      <name val="Calibri"/>
      <family val="2"/>
    </font>
    <font>
      <b/>
      <sz val="20"/>
      <color rgb="FFFFFFFF"/>
      <name val="Calibri"/>
      <family val="2"/>
    </font>
    <font>
      <sz val="10"/>
      <color rgb="FF595959"/>
      <name val="Calibri"/>
      <family val="2"/>
    </font>
    <font>
      <b/>
      <sz val="13"/>
      <color rgb="FFFFFFFF"/>
      <name val="Calibri"/>
      <family val="2"/>
    </font>
    <font>
      <b/>
      <sz val="10"/>
      <color rgb="FF0000FF"/>
      <name val="Calibri"/>
      <family val="2"/>
    </font>
    <font>
      <b/>
      <sz val="10"/>
      <color rgb="FF000000"/>
      <name val="Calibri"/>
      <family val="2"/>
    </font>
  </fonts>
  <fills count="20">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BDD7EE"/>
        <bgColor rgb="FFD9D9D9"/>
      </patternFill>
    </fill>
    <fill>
      <patternFill patternType="solid">
        <fgColor rgb="FFD9D9D9"/>
        <bgColor rgb="FFDEEAF1"/>
      </patternFill>
    </fill>
    <fill>
      <patternFill patternType="solid">
        <fgColor rgb="FFFFFFFF"/>
        <bgColor rgb="FFF9F9F9"/>
      </patternFill>
    </fill>
    <fill>
      <patternFill patternType="solid">
        <fgColor rgb="FFDEEAF1"/>
        <bgColor rgb="FFE2EFDA"/>
      </patternFill>
    </fill>
    <fill>
      <patternFill patternType="solid">
        <fgColor rgb="FFE2EFDA"/>
        <bgColor rgb="FFDEEAF1"/>
      </patternFill>
    </fill>
    <fill>
      <patternFill patternType="solid">
        <fgColor rgb="FFED7D31"/>
        <bgColor rgb="FFFF8080"/>
      </patternFill>
    </fill>
    <fill>
      <patternFill patternType="solid">
        <fgColor rgb="FF2E75B6"/>
        <bgColor rgb="FF1F7391"/>
      </patternFill>
    </fill>
    <fill>
      <patternFill patternType="solid">
        <fgColor rgb="FFC00000"/>
        <bgColor rgb="FF800000"/>
      </patternFill>
    </fill>
    <fill>
      <patternFill patternType="solid">
        <fgColor rgb="FFF2F2F2"/>
        <bgColor rgb="FFF9F9F9"/>
      </patternFill>
    </fill>
    <fill>
      <patternFill patternType="solid">
        <fgColor rgb="FF2E75B6"/>
        <bgColor rgb="FF4F81BD"/>
      </patternFill>
    </fill>
    <fill>
      <patternFill patternType="solid">
        <fgColor rgb="FF595959"/>
        <bgColor rgb="FF333333"/>
      </patternFill>
    </fill>
    <fill>
      <patternFill patternType="solid">
        <fgColor rgb="FFF2F2F2"/>
        <bgColor rgb="FFE2EFDA"/>
      </patternFill>
    </fill>
    <fill>
      <patternFill patternType="solid">
        <fgColor rgb="FFFFFFFF"/>
        <bgColor rgb="FFF2F2F2"/>
      </patternFill>
    </fill>
    <fill>
      <patternFill patternType="solid">
        <fgColor rgb="FFFFE0E0"/>
        <bgColor rgb="FFFCE4D6"/>
      </patternFill>
    </fill>
    <fill>
      <patternFill patternType="solid">
        <fgColor rgb="FFFCE4D6"/>
        <bgColor rgb="FFFFE0E0"/>
      </patternFill>
    </fill>
    <fill>
      <patternFill patternType="solid">
        <fgColor rgb="FFFFF2CC"/>
        <bgColor rgb="FFFCE4D6"/>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595959"/>
      </left>
      <right style="medium">
        <color rgb="FF595959"/>
      </right>
      <top style="medium">
        <color rgb="FF595959"/>
      </top>
      <bottom style="medium">
        <color rgb="FF595959"/>
      </bottom>
      <diagonal/>
    </border>
  </borders>
  <cellStyleXfs count="2">
    <xf numFmtId="0" fontId="0" fillId="0" borderId="0"/>
    <xf numFmtId="0" fontId="23" fillId="0" borderId="0"/>
  </cellStyleXfs>
  <cellXfs count="114">
    <xf numFmtId="0" fontId="0" fillId="0" borderId="0" xfId="0"/>
    <xf numFmtId="0" fontId="4" fillId="2"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10" fontId="6" fillId="7" borderId="1" xfId="0" applyNumberFormat="1" applyFont="1" applyFill="1" applyBorder="1" applyAlignment="1">
      <alignment horizontal="center" vertical="center" wrapText="1"/>
    </xf>
    <xf numFmtId="10" fontId="6" fillId="6" borderId="1" xfId="0" applyNumberFormat="1" applyFont="1" applyFill="1" applyBorder="1" applyAlignment="1">
      <alignment horizontal="center" vertical="center" wrapText="1"/>
    </xf>
    <xf numFmtId="0" fontId="14" fillId="0" borderId="0" xfId="0" applyFont="1"/>
    <xf numFmtId="0" fontId="15" fillId="5" borderId="0" xfId="0" applyFont="1" applyFill="1" applyAlignment="1">
      <alignment horizontal="center" vertical="center" wrapText="1"/>
    </xf>
    <xf numFmtId="0" fontId="16" fillId="0" borderId="0" xfId="0" applyFont="1" applyAlignment="1">
      <alignment horizontal="center" vertical="center" wrapText="1"/>
    </xf>
    <xf numFmtId="0" fontId="13" fillId="2"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left" vertical="center" wrapText="1"/>
    </xf>
    <xf numFmtId="0" fontId="20" fillId="0" borderId="0" xfId="0" applyFont="1"/>
    <xf numFmtId="0" fontId="3" fillId="4" borderId="1" xfId="0" applyFont="1" applyFill="1" applyBorder="1" applyAlignment="1">
      <alignment horizontal="center" vertical="center" wrapText="1"/>
    </xf>
    <xf numFmtId="0" fontId="21" fillId="6" borderId="1" xfId="0" applyFont="1" applyFill="1" applyBorder="1" applyAlignment="1">
      <alignment horizontal="left" vertical="center" wrapText="1"/>
    </xf>
    <xf numFmtId="0" fontId="22" fillId="6"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30" fillId="2" borderId="1" xfId="0" applyFont="1" applyFill="1" applyBorder="1" applyAlignment="1">
      <alignment horizontal="center" vertical="center" wrapText="1"/>
    </xf>
    <xf numFmtId="0" fontId="31" fillId="15" borderId="1" xfId="0" applyFont="1" applyFill="1" applyBorder="1" applyAlignment="1">
      <alignment horizontal="center" vertical="center" wrapText="1"/>
    </xf>
    <xf numFmtId="0" fontId="32" fillId="15"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4" fillId="15" borderId="1" xfId="0" applyFont="1" applyFill="1" applyBorder="1" applyAlignment="1">
      <alignment horizontal="center" vertical="center" wrapText="1"/>
    </xf>
    <xf numFmtId="0" fontId="34" fillId="16" borderId="1" xfId="0" applyFont="1" applyFill="1" applyBorder="1" applyAlignment="1">
      <alignment horizontal="center" vertical="center" wrapText="1"/>
    </xf>
    <xf numFmtId="164" fontId="34" fillId="15" borderId="1" xfId="0" applyNumberFormat="1" applyFont="1" applyFill="1" applyBorder="1" applyAlignment="1">
      <alignment horizontal="center" vertical="center" wrapText="1"/>
    </xf>
    <xf numFmtId="164" fontId="34" fillId="16" borderId="1" xfId="0" applyNumberFormat="1" applyFont="1" applyFill="1" applyBorder="1" applyAlignment="1">
      <alignment horizontal="center" vertical="center" wrapText="1"/>
    </xf>
    <xf numFmtId="3" fontId="34" fillId="15" borderId="1" xfId="0" applyNumberFormat="1" applyFont="1" applyFill="1" applyBorder="1" applyAlignment="1">
      <alignment horizontal="center" vertical="center" wrapText="1"/>
    </xf>
    <xf numFmtId="3" fontId="34" fillId="16" borderId="1" xfId="0" applyNumberFormat="1" applyFont="1" applyFill="1" applyBorder="1" applyAlignment="1">
      <alignment horizontal="center" vertical="center" wrapText="1"/>
    </xf>
    <xf numFmtId="0" fontId="34" fillId="17" borderId="1" xfId="0" applyFont="1" applyFill="1" applyBorder="1" applyAlignment="1">
      <alignment horizontal="center" vertical="center" wrapText="1"/>
    </xf>
    <xf numFmtId="164" fontId="34" fillId="17" borderId="1" xfId="0" applyNumberFormat="1" applyFont="1" applyFill="1" applyBorder="1" applyAlignment="1">
      <alignment horizontal="center" vertical="center" wrapText="1"/>
    </xf>
    <xf numFmtId="165" fontId="34" fillId="17" borderId="1" xfId="0" applyNumberFormat="1" applyFont="1" applyFill="1" applyBorder="1" applyAlignment="1">
      <alignment horizontal="center" vertical="center" wrapText="1"/>
    </xf>
    <xf numFmtId="0" fontId="34" fillId="18" borderId="1" xfId="0" applyFont="1" applyFill="1" applyBorder="1" applyAlignment="1">
      <alignment horizontal="center" vertical="center" wrapText="1"/>
    </xf>
    <xf numFmtId="164" fontId="34" fillId="18" borderId="1" xfId="0" applyNumberFormat="1" applyFont="1" applyFill="1" applyBorder="1" applyAlignment="1">
      <alignment horizontal="center" vertical="center" wrapText="1"/>
    </xf>
    <xf numFmtId="165" fontId="34" fillId="18" borderId="1" xfId="0" applyNumberFormat="1" applyFont="1" applyFill="1" applyBorder="1" applyAlignment="1">
      <alignment horizontal="center" vertical="center" wrapText="1"/>
    </xf>
    <xf numFmtId="0" fontId="34" fillId="19" borderId="1" xfId="0" applyFont="1" applyFill="1" applyBorder="1" applyAlignment="1">
      <alignment horizontal="center" vertical="center" wrapText="1"/>
    </xf>
    <xf numFmtId="164" fontId="34" fillId="19" borderId="1" xfId="0" applyNumberFormat="1" applyFont="1" applyFill="1" applyBorder="1" applyAlignment="1">
      <alignment horizontal="center" vertical="center" wrapText="1"/>
    </xf>
    <xf numFmtId="165" fontId="34" fillId="19" borderId="1" xfId="0" applyNumberFormat="1" applyFont="1" applyFill="1" applyBorder="1" applyAlignment="1">
      <alignment horizontal="center" vertical="center" wrapText="1"/>
    </xf>
    <xf numFmtId="0" fontId="34" fillId="8" borderId="1" xfId="0" applyFont="1" applyFill="1" applyBorder="1" applyAlignment="1">
      <alignment horizontal="center" vertical="center" wrapText="1"/>
    </xf>
    <xf numFmtId="164" fontId="34" fillId="8" borderId="1" xfId="0" applyNumberFormat="1" applyFont="1" applyFill="1" applyBorder="1" applyAlignment="1">
      <alignment horizontal="center" vertical="center" wrapText="1"/>
    </xf>
    <xf numFmtId="165" fontId="34" fillId="8" borderId="1" xfId="0" applyNumberFormat="1" applyFont="1" applyFill="1" applyBorder="1" applyAlignment="1">
      <alignment horizontal="center" vertical="center" wrapText="1"/>
    </xf>
    <xf numFmtId="166" fontId="34" fillId="17" borderId="1" xfId="0" applyNumberFormat="1" applyFont="1" applyFill="1" applyBorder="1" applyAlignment="1">
      <alignment horizontal="center" vertical="center" wrapText="1"/>
    </xf>
    <xf numFmtId="166" fontId="34" fillId="18" borderId="1" xfId="0" applyNumberFormat="1" applyFont="1" applyFill="1" applyBorder="1" applyAlignment="1">
      <alignment horizontal="center" vertical="center" wrapText="1"/>
    </xf>
    <xf numFmtId="166" fontId="34" fillId="19" borderId="1" xfId="0" applyNumberFormat="1" applyFont="1" applyFill="1" applyBorder="1" applyAlignment="1">
      <alignment horizontal="center" vertical="center" wrapText="1"/>
    </xf>
    <xf numFmtId="166" fontId="34" fillId="8" borderId="1" xfId="0" applyNumberFormat="1" applyFont="1" applyFill="1" applyBorder="1" applyAlignment="1">
      <alignment horizontal="center" vertical="center" wrapText="1"/>
    </xf>
    <xf numFmtId="0" fontId="34" fillId="4" borderId="1" xfId="0" applyFont="1" applyFill="1" applyBorder="1" applyAlignment="1">
      <alignment horizontal="center" vertical="center" wrapText="1"/>
    </xf>
    <xf numFmtId="167" fontId="38" fillId="4" borderId="1" xfId="0" applyNumberFormat="1" applyFont="1" applyFill="1" applyBorder="1" applyAlignment="1">
      <alignment horizontal="center" vertical="center" wrapText="1"/>
    </xf>
    <xf numFmtId="164" fontId="38" fillId="4" borderId="1" xfId="0" applyNumberFormat="1" applyFont="1" applyFill="1" applyBorder="1" applyAlignment="1">
      <alignment horizontal="center" vertical="center" wrapText="1"/>
    </xf>
    <xf numFmtId="167" fontId="34" fillId="15" borderId="1" xfId="0" applyNumberFormat="1" applyFont="1" applyFill="1" applyBorder="1" applyAlignment="1">
      <alignment horizontal="center" vertical="center" wrapText="1"/>
    </xf>
    <xf numFmtId="167" fontId="34" fillId="16" borderId="1" xfId="0" applyNumberFormat="1" applyFont="1" applyFill="1" applyBorder="1" applyAlignment="1">
      <alignment horizontal="center" vertical="center" wrapText="1"/>
    </xf>
    <xf numFmtId="167" fontId="34" fillId="17" borderId="1" xfId="0" applyNumberFormat="1" applyFont="1" applyFill="1" applyBorder="1" applyAlignment="1">
      <alignment horizontal="center" vertical="center" wrapText="1"/>
    </xf>
    <xf numFmtId="167" fontId="0" fillId="0" borderId="0" xfId="0" applyNumberFormat="1"/>
    <xf numFmtId="164" fontId="0" fillId="0" borderId="0" xfId="0" applyNumberFormat="1"/>
    <xf numFmtId="0" fontId="39" fillId="8" borderId="1" xfId="0" applyFont="1" applyFill="1" applyBorder="1" applyAlignment="1">
      <alignment horizontal="center" vertical="center" wrapText="1"/>
    </xf>
    <xf numFmtId="167" fontId="39" fillId="8" borderId="1" xfId="0" applyNumberFormat="1" applyFont="1" applyFill="1" applyBorder="1" applyAlignment="1">
      <alignment horizontal="center" vertical="center" wrapText="1"/>
    </xf>
    <xf numFmtId="164" fontId="39" fillId="8" borderId="1" xfId="0" applyNumberFormat="1" applyFont="1" applyFill="1" applyBorder="1" applyAlignment="1">
      <alignment horizontal="center" vertical="center" wrapText="1"/>
    </xf>
    <xf numFmtId="168" fontId="39" fillId="8" borderId="1" xfId="0" applyNumberFormat="1" applyFont="1" applyFill="1" applyBorder="1" applyAlignment="1">
      <alignment horizontal="center" vertical="center" wrapText="1"/>
    </xf>
    <xf numFmtId="167" fontId="34" fillId="18" borderId="1" xfId="0" applyNumberFormat="1" applyFont="1" applyFill="1" applyBorder="1" applyAlignment="1">
      <alignment horizontal="center" vertical="center" wrapText="1"/>
    </xf>
    <xf numFmtId="167" fontId="34" fillId="8" borderId="1" xfId="0" applyNumberFormat="1" applyFont="1" applyFill="1" applyBorder="1" applyAlignment="1">
      <alignment horizontal="center" vertical="center" wrapText="1"/>
    </xf>
    <xf numFmtId="169" fontId="34" fillId="8" borderId="1" xfId="0" applyNumberFormat="1" applyFont="1" applyFill="1" applyBorder="1" applyAlignment="1">
      <alignment horizontal="center" vertical="center" wrapText="1"/>
    </xf>
    <xf numFmtId="2" fontId="34" fillId="8" borderId="1" xfId="0" applyNumberFormat="1" applyFont="1" applyFill="1" applyBorder="1" applyAlignment="1">
      <alignment horizontal="center" vertical="center" wrapText="1"/>
    </xf>
    <xf numFmtId="169" fontId="34" fillId="18" borderId="1" xfId="0" applyNumberFormat="1" applyFont="1" applyFill="1" applyBorder="1" applyAlignment="1">
      <alignment horizontal="center" vertical="center" wrapText="1"/>
    </xf>
    <xf numFmtId="2" fontId="34" fillId="18" borderId="1" xfId="0" applyNumberFormat="1" applyFont="1" applyFill="1" applyBorder="1" applyAlignment="1">
      <alignment horizontal="center" vertical="center" wrapText="1"/>
    </xf>
    <xf numFmtId="3" fontId="34" fillId="17" borderId="1" xfId="0" applyNumberFormat="1" applyFont="1" applyFill="1" applyBorder="1" applyAlignment="1">
      <alignment horizontal="center" vertical="center" wrapText="1"/>
    </xf>
    <xf numFmtId="168" fontId="34" fillId="17" borderId="1" xfId="0" applyNumberFormat="1" applyFont="1" applyFill="1" applyBorder="1" applyAlignment="1">
      <alignment horizontal="center" vertical="center" wrapText="1"/>
    </xf>
    <xf numFmtId="3" fontId="34" fillId="19" borderId="1" xfId="0" applyNumberFormat="1" applyFont="1" applyFill="1" applyBorder="1" applyAlignment="1">
      <alignment horizontal="center" vertical="center" wrapText="1"/>
    </xf>
    <xf numFmtId="167" fontId="34" fillId="19" borderId="1" xfId="0" applyNumberFormat="1" applyFont="1" applyFill="1" applyBorder="1" applyAlignment="1">
      <alignment horizontal="center" vertical="center" wrapText="1"/>
    </xf>
    <xf numFmtId="168" fontId="34" fillId="19" borderId="1" xfId="0" applyNumberFormat="1" applyFont="1" applyFill="1" applyBorder="1" applyAlignment="1">
      <alignment horizontal="center" vertical="center" wrapText="1"/>
    </xf>
    <xf numFmtId="3" fontId="34" fillId="8" borderId="1" xfId="0" applyNumberFormat="1" applyFont="1" applyFill="1" applyBorder="1" applyAlignment="1">
      <alignment horizontal="center" vertical="center" wrapText="1"/>
    </xf>
    <xf numFmtId="168" fontId="34" fillId="8" borderId="1" xfId="0" applyNumberFormat="1" applyFont="1" applyFill="1" applyBorder="1" applyAlignment="1">
      <alignment horizontal="center" vertical="center" wrapText="1"/>
    </xf>
    <xf numFmtId="0" fontId="39" fillId="4" borderId="1" xfId="0" applyFont="1" applyFill="1" applyBorder="1" applyAlignment="1">
      <alignment horizontal="center" vertical="center" wrapText="1"/>
    </xf>
    <xf numFmtId="164" fontId="39" fillId="4" borderId="1" xfId="0" applyNumberFormat="1" applyFont="1" applyFill="1" applyBorder="1" applyAlignment="1">
      <alignment horizontal="center" vertical="center" wrapText="1"/>
    </xf>
    <xf numFmtId="3" fontId="39" fillId="4" borderId="1" xfId="0" applyNumberFormat="1" applyFont="1" applyFill="1" applyBorder="1" applyAlignment="1">
      <alignment horizontal="center" vertical="center" wrapText="1"/>
    </xf>
    <xf numFmtId="167" fontId="39" fillId="4" borderId="1" xfId="0" applyNumberFormat="1" applyFont="1" applyFill="1" applyBorder="1" applyAlignment="1">
      <alignment horizontal="center" vertical="center" wrapText="1"/>
    </xf>
    <xf numFmtId="168" fontId="39" fillId="4" borderId="1" xfId="0" applyNumberFormat="1" applyFont="1" applyFill="1" applyBorder="1" applyAlignment="1">
      <alignment horizontal="center" vertical="center" wrapText="1"/>
    </xf>
    <xf numFmtId="167" fontId="34" fillId="4" borderId="1" xfId="0" applyNumberFormat="1" applyFont="1" applyFill="1" applyBorder="1" applyAlignment="1">
      <alignment horizontal="center" vertical="center" wrapText="1"/>
    </xf>
    <xf numFmtId="0" fontId="39" fillId="15" borderId="1" xfId="0" applyFont="1" applyFill="1" applyBorder="1" applyAlignment="1">
      <alignment horizontal="center" vertical="center" wrapText="1"/>
    </xf>
    <xf numFmtId="167" fontId="39" fillId="15" borderId="1" xfId="0" applyNumberFormat="1" applyFont="1" applyFill="1" applyBorder="1" applyAlignment="1">
      <alignment horizontal="center" vertical="center" wrapText="1"/>
    </xf>
    <xf numFmtId="0" fontId="7" fillId="2" borderId="0" xfId="0" applyFont="1" applyFill="1" applyAlignment="1">
      <alignment horizontal="center" vertical="center" wrapText="1"/>
    </xf>
    <xf numFmtId="0" fontId="24" fillId="10" borderId="0" xfId="0" applyFont="1" applyFill="1" applyAlignment="1">
      <alignment horizontal="center" vertical="center" wrapText="1"/>
    </xf>
    <xf numFmtId="0" fontId="4" fillId="11" borderId="2"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10" fillId="8" borderId="2" xfId="0" applyFont="1" applyFill="1" applyBorder="1" applyAlignment="1">
      <alignment horizontal="left" vertical="center" wrapText="1"/>
    </xf>
    <xf numFmtId="0" fontId="13" fillId="2" borderId="0" xfId="0" applyFont="1" applyFill="1" applyAlignment="1">
      <alignment horizontal="center" vertical="center" wrapText="1"/>
    </xf>
    <xf numFmtId="0" fontId="12" fillId="3" borderId="0" xfId="0" applyFont="1" applyFill="1" applyAlignment="1">
      <alignment horizontal="center" vertical="center" wrapText="1"/>
    </xf>
    <xf numFmtId="0" fontId="15" fillId="4" borderId="0" xfId="0" applyFont="1" applyFill="1" applyAlignment="1">
      <alignment horizontal="center" vertical="center" wrapText="1"/>
    </xf>
    <xf numFmtId="0" fontId="11" fillId="2" borderId="0" xfId="0" applyFont="1" applyFill="1" applyAlignment="1">
      <alignment horizontal="center" vertical="center" wrapText="1"/>
    </xf>
    <xf numFmtId="0" fontId="11" fillId="3" borderId="2" xfId="0" applyFont="1" applyFill="1" applyBorder="1" applyAlignment="1">
      <alignment horizontal="center" vertical="center" wrapText="1"/>
    </xf>
    <xf numFmtId="0" fontId="19" fillId="8" borderId="2" xfId="0" applyFont="1" applyFill="1" applyBorder="1" applyAlignment="1">
      <alignment horizontal="left" vertical="center" wrapText="1"/>
    </xf>
    <xf numFmtId="0" fontId="8" fillId="3"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1" fillId="9" borderId="0" xfId="0" applyFont="1" applyFill="1" applyAlignment="1">
      <alignment horizontal="center" vertical="center" wrapText="1"/>
    </xf>
    <xf numFmtId="0" fontId="1" fillId="2" borderId="0" xfId="0" applyFont="1" applyFill="1" applyAlignment="1">
      <alignment horizontal="center" vertical="center" wrapText="1"/>
    </xf>
    <xf numFmtId="0" fontId="2" fillId="10" borderId="0" xfId="0" applyFont="1" applyFill="1" applyAlignment="1">
      <alignment horizontal="center" vertical="center" wrapText="1"/>
    </xf>
    <xf numFmtId="0" fontId="25" fillId="0" borderId="0" xfId="0" applyFont="1" applyAlignment="1">
      <alignment horizontal="left" vertical="center" wrapText="1"/>
    </xf>
    <xf numFmtId="0" fontId="26" fillId="12" borderId="2" xfId="0" applyFont="1" applyFill="1" applyBorder="1" applyAlignment="1">
      <alignment horizontal="left" vertical="center" wrapText="1"/>
    </xf>
    <xf numFmtId="0" fontId="10" fillId="0" borderId="0" xfId="0" applyFont="1" applyAlignment="1">
      <alignment horizontal="left" vertical="center" wrapText="1"/>
    </xf>
    <xf numFmtId="0" fontId="27" fillId="2" borderId="0" xfId="0" applyFont="1" applyFill="1" applyAlignment="1">
      <alignment horizontal="center" vertical="center" wrapText="1"/>
    </xf>
    <xf numFmtId="0" fontId="28" fillId="2" borderId="0" xfId="0" applyFont="1" applyFill="1" applyAlignment="1">
      <alignment horizontal="center" vertical="center" wrapText="1"/>
    </xf>
    <xf numFmtId="0" fontId="0" fillId="13" borderId="0" xfId="0" applyFill="1"/>
    <xf numFmtId="0" fontId="29" fillId="7" borderId="2" xfId="0" applyFont="1" applyFill="1" applyBorder="1" applyAlignment="1">
      <alignment horizontal="center" vertical="center" wrapText="1"/>
    </xf>
    <xf numFmtId="0" fontId="35" fillId="2" borderId="0" xfId="0" applyFont="1" applyFill="1" applyAlignment="1">
      <alignment horizontal="center" vertical="center" wrapText="1"/>
    </xf>
    <xf numFmtId="0" fontId="36" fillId="7" borderId="0" xfId="0" applyFont="1" applyFill="1" applyAlignment="1">
      <alignment horizontal="center" vertical="center" wrapText="1"/>
    </xf>
    <xf numFmtId="0" fontId="37" fillId="13" borderId="3" xfId="0" applyFont="1" applyFill="1" applyBorder="1" applyAlignment="1">
      <alignment horizontal="center" vertical="center" wrapText="1"/>
    </xf>
    <xf numFmtId="0" fontId="37" fillId="14" borderId="3" xfId="0" applyFont="1" applyFill="1" applyBorder="1" applyAlignment="1">
      <alignment horizontal="center" vertical="center" wrapText="1"/>
    </xf>
    <xf numFmtId="0" fontId="34" fillId="19" borderId="0" xfId="0" applyFont="1" applyFill="1" applyAlignment="1">
      <alignment vertical="top" wrapText="1"/>
    </xf>
  </cellXfs>
  <cellStyles count="2">
    <cellStyle name="Normal" xfId="0" builtinId="0"/>
    <cellStyle name="Normal 2" xfId="1" xr:uid="{61E35E25-FE69-4B6D-981C-399A915D9E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microsoft.com/office/2017/10/relationships/person" Target="persons/perso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Age Group</a:t>
            </a:r>
          </a:p>
        </c:rich>
      </c:tx>
      <c:overlay val="0"/>
      <c:spPr>
        <a:noFill/>
        <a:ln w="0">
          <a:noFill/>
        </a:ln>
      </c:spPr>
    </c:title>
    <c:autoTitleDeleted val="0"/>
    <c:plotArea>
      <c:layout/>
      <c:barChart>
        <c:barDir val="col"/>
        <c:grouping val="clustered"/>
        <c:varyColors val="0"/>
        <c:ser>
          <c:idx val="0"/>
          <c:order val="0"/>
          <c:tx>
            <c:strRef>
              <c:f>'[1]Q1 Age (2)'!$E$4</c:f>
              <c:strCache>
                <c:ptCount val="1"/>
                <c:pt idx="0">
                  <c:v>Readmission Rate (%)</c:v>
                </c:pt>
              </c:strCache>
            </c:strRef>
          </c:tx>
          <c:spPr>
            <a:solidFill>
              <a:srgbClr val="2E75B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'[1]Q1 Age (2)'!$A$5:$A$14</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'[1]Q1 Age (2)'!$E$5:$E$14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D3B3-4AA6-A11A-0A0FA9FD98B9}"/>
            </c:ext>
          </c:extLst>
        </c:ser>
        <c:dLbls>
          <c:showLegendKey val="0"/>
          <c:showVal val="0"/>
          <c:showCatName val="0"/>
          <c:showSerName val="0"/>
          <c:showPercent val="0"/>
          <c:showBubbleSize val="0"/>
        </c:dLbls>
        <c:gapWidth val="150"/>
        <c:axId val="85614757"/>
        <c:axId val="69633466"/>
      </c:barChart>
      <c:catAx>
        <c:axId val="85614757"/>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Age Group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9633466"/>
        <c:crosses val="autoZero"/>
        <c:auto val="1"/>
        <c:lblAlgn val="ctr"/>
        <c:lblOffset val="100"/>
        <c:noMultiLvlLbl val="0"/>
      </c:catAx>
      <c:valAx>
        <c:axId val="6963346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61475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15 Specialties by Avg Stay</a:t>
            </a:r>
          </a:p>
        </c:rich>
      </c:tx>
      <c:overlay val="0"/>
      <c:spPr>
        <a:noFill/>
        <a:ln w="0">
          <a:noFill/>
        </a:ln>
      </c:spPr>
    </c:title>
    <c:autoTitleDeleted val="0"/>
    <c:plotArea>
      <c:layout/>
      <c:barChart>
        <c:barDir val="bar"/>
        <c:grouping val="clustered"/>
        <c:varyColors val="0"/>
        <c:ser>
          <c:idx val="0"/>
          <c:order val="0"/>
          <c:tx>
            <c:strRef>
              <c:f>'[1]Q2 Specialty (2)'!$C$5</c:f>
              <c:strCache>
                <c:ptCount val="1"/>
              </c:strCache>
            </c:strRef>
          </c:tx>
          <c:spPr>
            <a:solidFill>
              <a:srgbClr val="ED7D31"/>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'[1]Q2 Specialty (2)'!$A$6:$A$20</c:f>
              <c:strCache>
                <c:ptCount val="15"/>
                <c:pt idx="0">
                  <c:v>Pediatrics-Pulmonology</c:v>
                </c:pt>
                <c:pt idx="1">
                  <c:v>PhysicalMedicineandRehabilitation</c:v>
                </c:pt>
                <c:pt idx="2">
                  <c:v>OutreachServices</c:v>
                </c:pt>
                <c:pt idx="3">
                  <c:v>Pathology</c:v>
                </c:pt>
                <c:pt idx="4">
                  <c:v>Psychiatry-Addictive</c:v>
                </c:pt>
                <c:pt idx="5">
                  <c:v>Rheumatology</c:v>
                </c:pt>
                <c:pt idx="6">
                  <c:v>Psychiatry-Child/Adolescent</c:v>
                </c:pt>
                <c:pt idx="7">
                  <c:v>Proctology</c:v>
                </c:pt>
                <c:pt idx="8">
                  <c:v>Psychiatry</c:v>
                </c:pt>
                <c:pt idx="9">
                  <c:v>Psychology</c:v>
                </c:pt>
                <c:pt idx="10">
                  <c:v>Surgery-Cardiovascular/Thoracic</c:v>
                </c:pt>
                <c:pt idx="11">
                  <c:v>Surgery-Thoracic</c:v>
                </c:pt>
                <c:pt idx="12">
                  <c:v>Surgery-Pediatric</c:v>
                </c:pt>
                <c:pt idx="13">
                  <c:v>Obsterics&amp;Gynecology-GynecologicOnco</c:v>
                </c:pt>
                <c:pt idx="14">
                  <c:v>Surgery-Colon&amp;Rectal</c:v>
                </c:pt>
              </c:strCache>
            </c:strRef>
          </c:cat>
          <c:val>
            <c:numRef>
              <c:f>'[1]Q2 Specialty (2)'!$C$6:$C$20</c:f>
              <c:numCache>
                <c:formatCode>General</c:formatCode>
                <c:ptCount val="15"/>
                <c:pt idx="0">
                  <c:v>10.69</c:v>
                </c:pt>
                <c:pt idx="1">
                  <c:v>8.89</c:v>
                </c:pt>
                <c:pt idx="2">
                  <c:v>8.25</c:v>
                </c:pt>
                <c:pt idx="3">
                  <c:v>8.11</c:v>
                </c:pt>
                <c:pt idx="4">
                  <c:v>8</c:v>
                </c:pt>
                <c:pt idx="5">
                  <c:v>7.88</c:v>
                </c:pt>
                <c:pt idx="6">
                  <c:v>7.22</c:v>
                </c:pt>
                <c:pt idx="7">
                  <c:v>7</c:v>
                </c:pt>
                <c:pt idx="8">
                  <c:v>6.64</c:v>
                </c:pt>
                <c:pt idx="9">
                  <c:v>6.58</c:v>
                </c:pt>
                <c:pt idx="10">
                  <c:v>6.08</c:v>
                </c:pt>
                <c:pt idx="11">
                  <c:v>5.96</c:v>
                </c:pt>
                <c:pt idx="12">
                  <c:v>5.88</c:v>
                </c:pt>
                <c:pt idx="13">
                  <c:v>5.3</c:v>
                </c:pt>
                <c:pt idx="14">
                  <c:v>5.29</c:v>
                </c:pt>
              </c:numCache>
            </c:numRef>
          </c:val>
          <c:extLst>
            <c:ext xmlns:c16="http://schemas.microsoft.com/office/drawing/2014/chart" uri="{C3380CC4-5D6E-409C-BE32-E72D297353CC}">
              <c16:uniqueId val="{00000000-F991-4618-91C2-54C13961F4E5}"/>
            </c:ext>
          </c:extLst>
        </c:ser>
        <c:dLbls>
          <c:showLegendKey val="0"/>
          <c:showVal val="0"/>
          <c:showCatName val="0"/>
          <c:showSerName val="0"/>
          <c:showPercent val="0"/>
          <c:showBubbleSize val="0"/>
        </c:dLbls>
        <c:gapWidth val="150"/>
        <c:axId val="26311465"/>
        <c:axId val="65463355"/>
      </c:barChart>
      <c:catAx>
        <c:axId val="26311465"/>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Stay (Days)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463355"/>
        <c:crosses val="autoZero"/>
        <c:auto val="1"/>
        <c:lblAlgn val="ctr"/>
        <c:lblOffset val="100"/>
        <c:noMultiLvlLbl val="0"/>
      </c:catAx>
      <c:valAx>
        <c:axId val="65463355"/>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Medical Specialty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631146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vs Prior ER Visits</a:t>
            </a:r>
          </a:p>
        </c:rich>
      </c:tx>
      <c:overlay val="0"/>
      <c:spPr>
        <a:noFill/>
        <a:ln w="0">
          <a:noFill/>
        </a:ln>
      </c:spPr>
    </c:title>
    <c:autoTitleDeleted val="0"/>
    <c:plotArea>
      <c:layout/>
      <c:barChart>
        <c:barDir val="col"/>
        <c:grouping val="clustered"/>
        <c:varyColors val="0"/>
        <c:ser>
          <c:idx val="0"/>
          <c:order val="0"/>
          <c:tx>
            <c:strRef>
              <c:f>'[1]Q3 Emergency (2)'!$E$10</c:f>
              <c:strCache>
                <c:ptCount val="1"/>
                <c:pt idx="0">
                  <c:v>Readmission Rate (%)</c:v>
                </c:pt>
              </c:strCache>
            </c:strRef>
          </c:tx>
          <c:spPr>
            <a:solidFill>
              <a:srgbClr val="ED7D31"/>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'[1]Q3 Emergency (2)'!$A$11:$A$15</c:f>
              <c:strCache>
                <c:ptCount val="5"/>
                <c:pt idx="0">
                  <c:v>0</c:v>
                </c:pt>
                <c:pt idx="1">
                  <c:v>1</c:v>
                </c:pt>
                <c:pt idx="2">
                  <c:v>2</c:v>
                </c:pt>
                <c:pt idx="3">
                  <c:v>3-5</c:v>
                </c:pt>
                <c:pt idx="4">
                  <c:v>6+</c:v>
                </c:pt>
              </c:strCache>
            </c:strRef>
          </c:cat>
          <c:val>
            <c:numRef>
              <c:f>'[1]Q3 Emergency (2)'!$E$11:$E$15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9E68-4568-8BFA-AFAEBDE6E057}"/>
            </c:ext>
          </c:extLst>
        </c:ser>
        <c:dLbls>
          <c:showLegendKey val="0"/>
          <c:showVal val="0"/>
          <c:showCatName val="0"/>
          <c:showSerName val="0"/>
          <c:showPercent val="0"/>
          <c:showBubbleSize val="0"/>
        </c:dLbls>
        <c:gapWidth val="150"/>
        <c:axId val="33875074"/>
        <c:axId val="68252667"/>
      </c:barChart>
      <c:catAx>
        <c:axId val="33875074"/>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Prior ER Visits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252667"/>
        <c:crosses val="autoZero"/>
        <c:auto val="1"/>
        <c:lblAlgn val="ctr"/>
        <c:lblOffset val="100"/>
        <c:noMultiLvlLbl val="0"/>
      </c:catAx>
      <c:valAx>
        <c:axId val="6825266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87507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Diabetic vs Non-Diabetic</a:t>
            </a:r>
          </a:p>
        </c:rich>
      </c:tx>
      <c:overlay val="0"/>
      <c:spPr>
        <a:noFill/>
        <a:ln w="0">
          <a:noFill/>
        </a:ln>
      </c:spPr>
    </c:title>
    <c:autoTitleDeleted val="0"/>
    <c:plotArea>
      <c:layout/>
      <c:barChart>
        <c:barDir val="col"/>
        <c:grouping val="clustered"/>
        <c:varyColors val="0"/>
        <c:ser>
          <c:idx val="0"/>
          <c:order val="0"/>
          <c:tx>
            <c:strRef>
              <c:f>'[1]Q4 Diabetes (2)'!$E$4</c:f>
              <c:strCache>
                <c:ptCount val="1"/>
                <c:pt idx="0">
                  <c:v>Readmission Rate (%)</c:v>
                </c:pt>
              </c:strCache>
            </c:strRef>
          </c:tx>
          <c:spPr>
            <a:solidFill>
              <a:srgbClr val="2E75B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'[1]Q4 Diabetes (2)'!$A$5:$A$6</c:f>
              <c:strCache>
                <c:ptCount val="2"/>
                <c:pt idx="0">
                  <c:v>No — Non-Diabetic</c:v>
                </c:pt>
                <c:pt idx="1">
                  <c:v>Yes — Diabetic</c:v>
                </c:pt>
              </c:strCache>
            </c:strRef>
          </c:cat>
          <c:val>
            <c:numRef>
              <c:f>'[1]Q4 Diabetes (2)'!$E$5:$E$6</c:f>
              <c:numCache>
                <c:formatCode>General</c:formatCode>
                <c:ptCount val="2"/>
                <c:pt idx="0">
                  <c:v>0</c:v>
                </c:pt>
                <c:pt idx="1">
                  <c:v>0</c:v>
                </c:pt>
              </c:numCache>
            </c:numRef>
          </c:val>
          <c:extLst>
            <c:ext xmlns:c16="http://schemas.microsoft.com/office/drawing/2014/chart" uri="{C3380CC4-5D6E-409C-BE32-E72D297353CC}">
              <c16:uniqueId val="{00000000-4556-4155-BC95-A1FAF9A758FC}"/>
            </c:ext>
          </c:extLst>
        </c:ser>
        <c:dLbls>
          <c:showLegendKey val="0"/>
          <c:showVal val="0"/>
          <c:showCatName val="0"/>
          <c:showSerName val="0"/>
          <c:showPercent val="0"/>
          <c:showBubbleSize val="0"/>
        </c:dLbls>
        <c:gapWidth val="150"/>
        <c:axId val="59472154"/>
        <c:axId val="19043391"/>
      </c:barChart>
      <c:catAx>
        <c:axId val="5947215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043391"/>
        <c:crosses val="autoZero"/>
        <c:auto val="1"/>
        <c:lblAlgn val="ctr"/>
        <c:lblOffset val="100"/>
        <c:noMultiLvlLbl val="0"/>
      </c:catAx>
      <c:valAx>
        <c:axId val="1904339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47215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Medication Change</a:t>
            </a:r>
          </a:p>
        </c:rich>
      </c:tx>
      <c:overlay val="0"/>
      <c:spPr>
        <a:noFill/>
        <a:ln w="0">
          <a:noFill/>
        </a:ln>
      </c:spPr>
    </c:title>
    <c:autoTitleDeleted val="0"/>
    <c:plotArea>
      <c:layout/>
      <c:barChart>
        <c:barDir val="col"/>
        <c:grouping val="clustered"/>
        <c:varyColors val="0"/>
        <c:ser>
          <c:idx val="0"/>
          <c:order val="0"/>
          <c:tx>
            <c:strRef>
              <c:f>'[1]Q5 MedChange (2)'!$E$8</c:f>
              <c:strCache>
                <c:ptCount val="1"/>
                <c:pt idx="0">
                  <c:v>Readmission Rate (%)</c:v>
                </c:pt>
              </c:strCache>
            </c:strRef>
          </c:tx>
          <c:spPr>
            <a:solidFill>
              <a:srgbClr val="1F386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'[1]Q5 MedChange (2)'!$A$9:$A$10</c:f>
              <c:strCache>
                <c:ptCount val="2"/>
                <c:pt idx="0">
                  <c:v>Yes — Medication Changed</c:v>
                </c:pt>
                <c:pt idx="1">
                  <c:v>No — No Change</c:v>
                </c:pt>
              </c:strCache>
            </c:strRef>
          </c:cat>
          <c:val>
            <c:numRef>
              <c:f>'[1]Q5 MedChange (2)'!$E$9:$E$10</c:f>
              <c:numCache>
                <c:formatCode>General</c:formatCode>
                <c:ptCount val="2"/>
                <c:pt idx="0">
                  <c:v>0</c:v>
                </c:pt>
                <c:pt idx="1">
                  <c:v>0</c:v>
                </c:pt>
              </c:numCache>
            </c:numRef>
          </c:val>
          <c:extLst>
            <c:ext xmlns:c16="http://schemas.microsoft.com/office/drawing/2014/chart" uri="{C3380CC4-5D6E-409C-BE32-E72D297353CC}">
              <c16:uniqueId val="{00000000-9B85-4BE8-AB47-C29E678D7D79}"/>
            </c:ext>
          </c:extLst>
        </c:ser>
        <c:dLbls>
          <c:showLegendKey val="0"/>
          <c:showVal val="0"/>
          <c:showCatName val="0"/>
          <c:showSerName val="0"/>
          <c:showPercent val="0"/>
          <c:showBubbleSize val="0"/>
        </c:dLbls>
        <c:gapWidth val="150"/>
        <c:axId val="31870688"/>
        <c:axId val="33754922"/>
      </c:barChart>
      <c:catAx>
        <c:axId val="318706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754922"/>
        <c:crosses val="autoZero"/>
        <c:auto val="1"/>
        <c:lblAlgn val="ctr"/>
        <c:lblOffset val="100"/>
        <c:noMultiLvlLbl val="0"/>
      </c:catAx>
      <c:valAx>
        <c:axId val="3375492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87068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Lab Procedure Range</a:t>
            </a:r>
          </a:p>
        </c:rich>
      </c:tx>
      <c:overlay val="0"/>
      <c:spPr>
        <a:noFill/>
        <a:ln w="0">
          <a:noFill/>
        </a:ln>
      </c:spPr>
    </c:title>
    <c:autoTitleDeleted val="0"/>
    <c:plotArea>
      <c:layout/>
      <c:barChart>
        <c:barDir val="col"/>
        <c:grouping val="clustered"/>
        <c:varyColors val="0"/>
        <c:ser>
          <c:idx val="0"/>
          <c:order val="0"/>
          <c:tx>
            <c:strRef>
              <c:f>'[1]Q6 LabProc (2)'!$E$9</c:f>
              <c:strCache>
                <c:ptCount val="1"/>
                <c:pt idx="0">
                  <c:v>Readmission Rate (%)</c:v>
                </c:pt>
              </c:strCache>
            </c:strRef>
          </c:tx>
          <c:spPr>
            <a:solidFill>
              <a:srgbClr val="2E75B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'[1]Q6 LabProc (2)'!$A$10:$A$14</c:f>
              <c:strCache>
                <c:ptCount val="5"/>
                <c:pt idx="0">
                  <c:v>1-20</c:v>
                </c:pt>
                <c:pt idx="1">
                  <c:v>21-40</c:v>
                </c:pt>
                <c:pt idx="2">
                  <c:v>41-60</c:v>
                </c:pt>
                <c:pt idx="3">
                  <c:v>61-80</c:v>
                </c:pt>
                <c:pt idx="4">
                  <c:v>81+</c:v>
                </c:pt>
              </c:strCache>
            </c:strRef>
          </c:cat>
          <c:val>
            <c:numRef>
              <c:f>'[1]Q6 LabProc (2)'!$E$10:$E$14</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0516-44E2-96B4-CD499D5F8A9F}"/>
            </c:ext>
          </c:extLst>
        </c:ser>
        <c:dLbls>
          <c:showLegendKey val="0"/>
          <c:showVal val="0"/>
          <c:showCatName val="0"/>
          <c:showSerName val="0"/>
          <c:showPercent val="0"/>
          <c:showBubbleSize val="0"/>
        </c:dLbls>
        <c:gapWidth val="150"/>
        <c:axId val="40520514"/>
        <c:axId val="20007191"/>
      </c:barChart>
      <c:catAx>
        <c:axId val="40520514"/>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Number of Lab Procedures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007191"/>
        <c:crosses val="autoZero"/>
        <c:auto val="1"/>
        <c:lblAlgn val="ctr"/>
        <c:lblOffset val="100"/>
        <c:noMultiLvlLbl val="0"/>
      </c:catAx>
      <c:valAx>
        <c:axId val="2000719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52051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Race</a:t>
            </a:r>
          </a:p>
        </c:rich>
      </c:tx>
      <c:overlay val="0"/>
      <c:spPr>
        <a:noFill/>
        <a:ln w="0">
          <a:noFill/>
        </a:ln>
      </c:spPr>
    </c:title>
    <c:autoTitleDeleted val="0"/>
    <c:plotArea>
      <c:layout/>
      <c:barChart>
        <c:barDir val="bar"/>
        <c:grouping val="clustered"/>
        <c:varyColors val="0"/>
        <c:ser>
          <c:idx val="0"/>
          <c:order val="0"/>
          <c:tx>
            <c:strRef>
              <c:f>'[1]Q7 Demographics (2)'!$E$4</c:f>
              <c:strCache>
                <c:ptCount val="1"/>
                <c:pt idx="0">
                  <c:v>Readmission Rate (%)</c:v>
                </c:pt>
              </c:strCache>
            </c:strRef>
          </c:tx>
          <c:spPr>
            <a:solidFill>
              <a:srgbClr val="2E75B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'[1]Q7 Demographics (2)'!$A$5:$A$9</c:f>
              <c:strCache>
                <c:ptCount val="5"/>
                <c:pt idx="0">
                  <c:v>Caucasian</c:v>
                </c:pt>
                <c:pt idx="1">
                  <c:v>AfricanAmerican</c:v>
                </c:pt>
                <c:pt idx="2">
                  <c:v>Hispanic</c:v>
                </c:pt>
                <c:pt idx="3">
                  <c:v>Other</c:v>
                </c:pt>
                <c:pt idx="4">
                  <c:v>Asian</c:v>
                </c:pt>
              </c:strCache>
            </c:strRef>
          </c:cat>
          <c:val>
            <c:numRef>
              <c:f>'[1]Q7 Demographics (2)'!$E$5:$E$9</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9929-449B-ABC3-8E496CBD0059}"/>
            </c:ext>
          </c:extLst>
        </c:ser>
        <c:dLbls>
          <c:showLegendKey val="0"/>
          <c:showVal val="0"/>
          <c:showCatName val="0"/>
          <c:showSerName val="0"/>
          <c:showPercent val="0"/>
          <c:showBubbleSize val="0"/>
        </c:dLbls>
        <c:gapWidth val="150"/>
        <c:axId val="43210687"/>
        <c:axId val="33128569"/>
      </c:barChart>
      <c:catAx>
        <c:axId val="43210687"/>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128569"/>
        <c:crosses val="autoZero"/>
        <c:auto val="1"/>
        <c:lblAlgn val="ctr"/>
        <c:lblOffset val="100"/>
        <c:noMultiLvlLbl val="0"/>
      </c:catAx>
      <c:valAx>
        <c:axId val="33128569"/>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Race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21068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Avg Hospital Stay by Medication Count</a:t>
            </a:r>
          </a:p>
        </c:rich>
      </c:tx>
      <c:overlay val="0"/>
      <c:spPr>
        <a:noFill/>
        <a:ln w="0">
          <a:noFill/>
        </a:ln>
      </c:spPr>
    </c:title>
    <c:autoTitleDeleted val="0"/>
    <c:plotArea>
      <c:layout/>
      <c:lineChart>
        <c:grouping val="standard"/>
        <c:varyColors val="0"/>
        <c:ser>
          <c:idx val="0"/>
          <c:order val="0"/>
          <c:tx>
            <c:strRef>
              <c:f>'[1]Q9 Medications (2)'!$D$10</c:f>
              <c:strCache>
                <c:ptCount val="1"/>
                <c:pt idx="0">
                  <c:v>Avg Stay (Days)</c:v>
                </c:pt>
              </c:strCache>
            </c:strRef>
          </c:tx>
          <c:spPr>
            <a:ln w="2844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'[1]Q9 Medications (2)'!$A$11:$A$16</c:f>
              <c:strCache>
                <c:ptCount val="6"/>
                <c:pt idx="0">
                  <c:v>1-5</c:v>
                </c:pt>
                <c:pt idx="1">
                  <c:v>6-10</c:v>
                </c:pt>
                <c:pt idx="2">
                  <c:v>11-15</c:v>
                </c:pt>
                <c:pt idx="3">
                  <c:v>16-20</c:v>
                </c:pt>
                <c:pt idx="4">
                  <c:v>21-30</c:v>
                </c:pt>
                <c:pt idx="5">
                  <c:v>31+</c:v>
                </c:pt>
              </c:strCache>
            </c:strRef>
          </c:cat>
          <c:val>
            <c:numRef>
              <c:f>'[1]Q9 Medications (2)'!$D$11:$D$16</c:f>
              <c:numCache>
                <c:formatCode>General</c:formatCode>
                <c:ptCount val="6"/>
                <c:pt idx="0">
                  <c:v>2.2799999999999998</c:v>
                </c:pt>
                <c:pt idx="1">
                  <c:v>3.02</c:v>
                </c:pt>
                <c:pt idx="2">
                  <c:v>3.84</c:v>
                </c:pt>
                <c:pt idx="3">
                  <c:v>4.7</c:v>
                </c:pt>
                <c:pt idx="4">
                  <c:v>6</c:v>
                </c:pt>
                <c:pt idx="5">
                  <c:v>8.02</c:v>
                </c:pt>
              </c:numCache>
            </c:numRef>
          </c:val>
          <c:smooth val="1"/>
          <c:extLst>
            <c:ext xmlns:c16="http://schemas.microsoft.com/office/drawing/2014/chart" uri="{C3380CC4-5D6E-409C-BE32-E72D297353CC}">
              <c16:uniqueId val="{00000000-B0A4-472D-BF91-3E156DA93F24}"/>
            </c:ext>
          </c:extLst>
        </c:ser>
        <c:dLbls>
          <c:showLegendKey val="0"/>
          <c:showVal val="0"/>
          <c:showCatName val="0"/>
          <c:showSerName val="0"/>
          <c:showPercent val="0"/>
          <c:showBubbleSize val="0"/>
        </c:dLbls>
        <c:hiLowLines>
          <c:spPr>
            <a:ln w="0">
              <a:noFill/>
            </a:ln>
          </c:spPr>
        </c:hiLowLines>
        <c:smooth val="0"/>
        <c:axId val="79149098"/>
        <c:axId val="94156455"/>
      </c:lineChart>
      <c:catAx>
        <c:axId val="79149098"/>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Medication Range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156455"/>
        <c:crosses val="autoZero"/>
        <c:auto val="1"/>
        <c:lblAlgn val="ctr"/>
        <c:lblOffset val="100"/>
        <c:noMultiLvlLbl val="0"/>
      </c:catAx>
      <c:valAx>
        <c:axId val="9415645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Stay (Days)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14909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Prior Outpatient Visits</a:t>
            </a:r>
          </a:p>
        </c:rich>
      </c:tx>
      <c:overlay val="0"/>
      <c:spPr>
        <a:noFill/>
        <a:ln w="0">
          <a:noFill/>
        </a:ln>
      </c:spPr>
    </c:title>
    <c:autoTitleDeleted val="0"/>
    <c:plotArea>
      <c:layout/>
      <c:barChart>
        <c:barDir val="col"/>
        <c:grouping val="clustered"/>
        <c:varyColors val="0"/>
        <c:ser>
          <c:idx val="0"/>
          <c:order val="0"/>
          <c:tx>
            <c:strRef>
              <c:f>'[1]Q10 Outpatient (2)'!$E$9</c:f>
              <c:strCache>
                <c:ptCount val="1"/>
                <c:pt idx="0">
                  <c:v>Readmission Rate (%)</c:v>
                </c:pt>
              </c:strCache>
            </c:strRef>
          </c:tx>
          <c:spPr>
            <a:solidFill>
              <a:srgbClr val="2E75B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'[1]Q10 Outpatient (2)'!$A$10:$A$14</c:f>
              <c:strCache>
                <c:ptCount val="5"/>
                <c:pt idx="0">
                  <c:v>0</c:v>
                </c:pt>
                <c:pt idx="1">
                  <c:v>1</c:v>
                </c:pt>
                <c:pt idx="2">
                  <c:v>2</c:v>
                </c:pt>
                <c:pt idx="3">
                  <c:v>3-5</c:v>
                </c:pt>
                <c:pt idx="4">
                  <c:v>6+</c:v>
                </c:pt>
              </c:strCache>
            </c:strRef>
          </c:cat>
          <c:val>
            <c:numRef>
              <c:f>'[1]Q10 Outpatient (2)'!$E$10:$E$14</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26D6-447D-9874-557D1F56A781}"/>
            </c:ext>
          </c:extLst>
        </c:ser>
        <c:dLbls>
          <c:showLegendKey val="0"/>
          <c:showVal val="0"/>
          <c:showCatName val="0"/>
          <c:showSerName val="0"/>
          <c:showPercent val="0"/>
          <c:showBubbleSize val="0"/>
        </c:dLbls>
        <c:gapWidth val="150"/>
        <c:axId val="23239262"/>
        <c:axId val="8280410"/>
      </c:barChart>
      <c:catAx>
        <c:axId val="23239262"/>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Prior Outpatient Visits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80410"/>
        <c:crosses val="autoZero"/>
        <c:auto val="1"/>
        <c:lblAlgn val="ctr"/>
        <c:lblOffset val="100"/>
        <c:noMultiLvlLbl val="0"/>
      </c:catAx>
      <c:valAx>
        <c:axId val="828041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23926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Comorbidity Level</a:t>
            </a:r>
          </a:p>
        </c:rich>
      </c:tx>
      <c:overlay val="0"/>
      <c:spPr>
        <a:noFill/>
        <a:ln w="0">
          <a:noFill/>
        </a:ln>
      </c:spPr>
    </c:title>
    <c:autoTitleDeleted val="0"/>
    <c:plotArea>
      <c:layout/>
      <c:barChart>
        <c:barDir val="col"/>
        <c:grouping val="clustered"/>
        <c:varyColors val="0"/>
        <c:ser>
          <c:idx val="0"/>
          <c:order val="0"/>
          <c:tx>
            <c:strRef>
              <c:f>'[2]M1 Comorbidity'!$F$11</c:f>
              <c:strCache>
                <c:ptCount val="1"/>
                <c:pt idx="0">
                  <c:v>34.05%</c:v>
                </c:pt>
              </c:strCache>
            </c:strRef>
          </c:tx>
          <c:spPr>
            <a:solidFill>
              <a:srgbClr val="2E75B6"/>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'[2]M1 Comorbidity'!$A$12:$A$16</c:f>
              <c:strCache>
                <c:ptCount val="5"/>
                <c:pt idx="0">
                  <c:v>Low (4-6)</c:v>
                </c:pt>
                <c:pt idx="1">
                  <c:v>Medium (7-9)</c:v>
                </c:pt>
                <c:pt idx="2">
                  <c:v>High (10-12)</c:v>
                </c:pt>
                <c:pt idx="3">
                  <c:v>Very High (13-16)</c:v>
                </c:pt>
              </c:strCache>
            </c:strRef>
          </c:cat>
          <c:val>
            <c:numRef>
              <c:f>'[2]M1 Comorbidity'!$F$12:$F$16</c:f>
              <c:numCache>
                <c:formatCode>General</c:formatCode>
                <c:ptCount val="5"/>
                <c:pt idx="0">
                  <c:v>0</c:v>
                </c:pt>
                <c:pt idx="1">
                  <c:v>0</c:v>
                </c:pt>
                <c:pt idx="2">
                  <c:v>0</c:v>
                </c:pt>
                <c:pt idx="3">
                  <c:v>0</c:v>
                </c:pt>
              </c:numCache>
            </c:numRef>
          </c:val>
          <c:extLst>
            <c:ext xmlns:c16="http://schemas.microsoft.com/office/drawing/2014/chart" uri="{C3380CC4-5D6E-409C-BE32-E72D297353CC}">
              <c16:uniqueId val="{00000000-03B0-4D13-B81C-EEA5E43B172B}"/>
            </c:ext>
          </c:extLst>
        </c:ser>
        <c:dLbls>
          <c:showLegendKey val="0"/>
          <c:showVal val="0"/>
          <c:showCatName val="0"/>
          <c:showSerName val="0"/>
          <c:showPercent val="0"/>
          <c:showBubbleSize val="0"/>
        </c:dLbls>
        <c:gapWidth val="150"/>
        <c:axId val="51742965"/>
        <c:axId val="39723911"/>
      </c:barChart>
      <c:catAx>
        <c:axId val="517429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9723911"/>
        <c:crosses val="autoZero"/>
        <c:auto val="1"/>
        <c:lblAlgn val="ctr"/>
        <c:lblOffset val="100"/>
        <c:noMultiLvlLbl val="0"/>
      </c:catAx>
      <c:valAx>
        <c:axId val="3972391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74296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Prior Inpatient Stays</a:t>
            </a:r>
          </a:p>
        </c:rich>
      </c:tx>
      <c:overlay val="0"/>
      <c:spPr>
        <a:noFill/>
        <a:ln w="0">
          <a:noFill/>
        </a:ln>
      </c:spPr>
    </c:title>
    <c:autoTitleDeleted val="0"/>
    <c:plotArea>
      <c:layout/>
      <c:barChart>
        <c:barDir val="col"/>
        <c:grouping val="clustered"/>
        <c:varyColors val="0"/>
        <c:ser>
          <c:idx val="0"/>
          <c:order val="0"/>
          <c:tx>
            <c:strRef>
              <c:f>'[2]M2 Inpatient'!$E$10</c:f>
              <c:strCache>
                <c:ptCount val="1"/>
                <c:pt idx="0">
                  <c:v>38.66%</c:v>
                </c:pt>
              </c:strCache>
            </c:strRef>
          </c:tx>
          <c:spPr>
            <a:solidFill>
              <a:srgbClr val="C000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'[2]M2 Inpatient'!$A$11:$A$15</c:f>
              <c:strCache>
                <c:ptCount val="5"/>
                <c:pt idx="0">
                  <c:v>1 Prior</c:v>
                </c:pt>
                <c:pt idx="1">
                  <c:v>2 Prior</c:v>
                </c:pt>
                <c:pt idx="2">
                  <c:v>3-5 Prior</c:v>
                </c:pt>
                <c:pt idx="3">
                  <c:v>6+ Prior</c:v>
                </c:pt>
              </c:strCache>
            </c:strRef>
          </c:cat>
          <c:val>
            <c:numRef>
              <c:f>'[2]M2 Inpatient'!$E$11:$E$15</c:f>
              <c:numCache>
                <c:formatCode>General</c:formatCode>
                <c:ptCount val="5"/>
                <c:pt idx="0">
                  <c:v>0</c:v>
                </c:pt>
                <c:pt idx="1">
                  <c:v>0</c:v>
                </c:pt>
                <c:pt idx="2">
                  <c:v>0</c:v>
                </c:pt>
                <c:pt idx="3">
                  <c:v>0</c:v>
                </c:pt>
              </c:numCache>
            </c:numRef>
          </c:val>
          <c:extLst>
            <c:ext xmlns:c16="http://schemas.microsoft.com/office/drawing/2014/chart" uri="{C3380CC4-5D6E-409C-BE32-E72D297353CC}">
              <c16:uniqueId val="{00000000-1C16-4B6B-AF12-CF24DB013DCC}"/>
            </c:ext>
          </c:extLst>
        </c:ser>
        <c:dLbls>
          <c:showLegendKey val="0"/>
          <c:showVal val="0"/>
          <c:showCatName val="0"/>
          <c:showSerName val="0"/>
          <c:showPercent val="0"/>
          <c:showBubbleSize val="0"/>
        </c:dLbls>
        <c:gapWidth val="150"/>
        <c:axId val="21902179"/>
        <c:axId val="71467590"/>
      </c:barChart>
      <c:catAx>
        <c:axId val="219021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467590"/>
        <c:crosses val="autoZero"/>
        <c:auto val="1"/>
        <c:lblAlgn val="ctr"/>
        <c:lblOffset val="100"/>
        <c:noMultiLvlLbl val="0"/>
      </c:catAx>
      <c:valAx>
        <c:axId val="7146759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90217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Primary Diagnosis</a:t>
            </a:r>
          </a:p>
        </c:rich>
      </c:tx>
      <c:overlay val="0"/>
      <c:spPr>
        <a:noFill/>
        <a:ln w="0">
          <a:noFill/>
        </a:ln>
      </c:spPr>
    </c:title>
    <c:autoTitleDeleted val="0"/>
    <c:plotArea>
      <c:layout/>
      <c:barChart>
        <c:barDir val="bar"/>
        <c:grouping val="clustered"/>
        <c:varyColors val="0"/>
        <c:ser>
          <c:idx val="0"/>
          <c:order val="0"/>
          <c:tx>
            <c:strRef>
              <c:f>'[2]M4 Diagnosis'!$H$6</c:f>
              <c:strCache>
                <c:ptCount val="1"/>
                <c:pt idx="0">
                  <c:v>60.45%</c:v>
                </c:pt>
              </c:strCache>
            </c:strRef>
          </c:tx>
          <c:spPr>
            <a:solidFill>
              <a:srgbClr val="1F7391"/>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'[2]M4 Diagnosis'!$B$7:$B$16</c:f>
              <c:strCache>
                <c:ptCount val="10"/>
                <c:pt idx="0">
                  <c:v>Heart Failure</c:v>
                </c:pt>
                <c:pt idx="1">
                  <c:v>Pneumonia</c:v>
                </c:pt>
                <c:pt idx="2">
                  <c:v>Cardiac Dysrhythmias</c:v>
                </c:pt>
                <c:pt idx="3">
                  <c:v>General Symptoms</c:v>
                </c:pt>
                <c:pt idx="4">
                  <c:v>Cellulitis</c:v>
                </c:pt>
                <c:pt idx="5">
                  <c:v>Coronary Artery Disease</c:v>
                </c:pt>
                <c:pt idx="6">
                  <c:v>Chest/Respiratory Symptoms</c:v>
                </c:pt>
                <c:pt idx="7">
                  <c:v>Acute MI</c:v>
                </c:pt>
                <c:pt idx="8">
                  <c:v>Osteoarthrosis</c:v>
                </c:pt>
              </c:strCache>
            </c:strRef>
          </c:cat>
          <c:val>
            <c:numRef>
              <c:f>'[2]M4 Diagnosis'!$H$7:$H$16</c:f>
              <c:numCache>
                <c:formatCode>General</c:formatCode>
                <c:ptCount val="10"/>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D88C-4856-9E71-D46B3A5BBED0}"/>
            </c:ext>
          </c:extLst>
        </c:ser>
        <c:dLbls>
          <c:showLegendKey val="0"/>
          <c:showVal val="0"/>
          <c:showCatName val="0"/>
          <c:showSerName val="0"/>
          <c:showPercent val="0"/>
          <c:showBubbleSize val="0"/>
        </c:dLbls>
        <c:gapWidth val="150"/>
        <c:axId val="52379654"/>
        <c:axId val="90900762"/>
      </c:barChart>
      <c:catAx>
        <c:axId val="52379654"/>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900762"/>
        <c:crosses val="autoZero"/>
        <c:auto val="1"/>
        <c:lblAlgn val="ctr"/>
        <c:lblOffset val="100"/>
        <c:noMultiLvlLbl val="0"/>
      </c:catAx>
      <c:valAx>
        <c:axId val="90900762"/>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Diagnosis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37965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Medical Specialty</a:t>
            </a:r>
          </a:p>
        </c:rich>
      </c:tx>
      <c:overlay val="0"/>
      <c:spPr>
        <a:noFill/>
        <a:ln w="0">
          <a:noFill/>
        </a:ln>
      </c:spPr>
    </c:title>
    <c:autoTitleDeleted val="0"/>
    <c:plotArea>
      <c:layout/>
      <c:barChart>
        <c:barDir val="bar"/>
        <c:grouping val="clustered"/>
        <c:varyColors val="0"/>
        <c:ser>
          <c:idx val="0"/>
          <c:order val="0"/>
          <c:tx>
            <c:strRef>
              <c:f>'[2]M7 Specialty Meds'!$G$6</c:f>
              <c:strCache>
                <c:ptCount val="1"/>
                <c:pt idx="0">
                  <c:v>55.1%</c:v>
                </c:pt>
              </c:strCache>
            </c:strRef>
          </c:tx>
          <c:spPr>
            <a:solidFill>
              <a:srgbClr val="7030A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'[2]M7 Specialty Meds'!$A$7:$A$16</c:f>
              <c:strCache>
                <c:ptCount val="10"/>
                <c:pt idx="0">
                  <c:v>Emergency/Trauma</c:v>
                </c:pt>
                <c:pt idx="1">
                  <c:v>Family/GeneralPractice</c:v>
                </c:pt>
                <c:pt idx="2">
                  <c:v>InternalMedicine</c:v>
                </c:pt>
                <c:pt idx="3">
                  <c:v>Radiologist</c:v>
                </c:pt>
                <c:pt idx="4">
                  <c:v>Surgery-General</c:v>
                </c:pt>
                <c:pt idx="5">
                  <c:v>Cardiology</c:v>
                </c:pt>
                <c:pt idx="6">
                  <c:v>Psychiatry</c:v>
                </c:pt>
                <c:pt idx="7">
                  <c:v>Orthopedics</c:v>
                </c:pt>
                <c:pt idx="8">
                  <c:v>Orthopedics-Reconstructive</c:v>
                </c:pt>
              </c:strCache>
            </c:strRef>
          </c:cat>
          <c:val>
            <c:numRef>
              <c:f>'[2]M7 Specialty Meds'!$G$7:$G$16</c:f>
              <c:numCache>
                <c:formatCode>General</c:formatCode>
                <c:ptCount val="10"/>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4835-47E3-B7FD-6DC0B6EBF111}"/>
            </c:ext>
          </c:extLst>
        </c:ser>
        <c:dLbls>
          <c:showLegendKey val="0"/>
          <c:showVal val="0"/>
          <c:showCatName val="0"/>
          <c:showSerName val="0"/>
          <c:showPercent val="0"/>
          <c:showBubbleSize val="0"/>
        </c:dLbls>
        <c:gapWidth val="150"/>
        <c:axId val="41060035"/>
        <c:axId val="99114012"/>
      </c:barChart>
      <c:catAx>
        <c:axId val="41060035"/>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114012"/>
        <c:crosses val="autoZero"/>
        <c:auto val="1"/>
        <c:lblAlgn val="ctr"/>
        <c:lblOffset val="100"/>
        <c:noMultiLvlLbl val="0"/>
      </c:catAx>
      <c:valAx>
        <c:axId val="99114012"/>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Specialty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06003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Composite Burden Score by Age Group</a:t>
            </a:r>
          </a:p>
        </c:rich>
      </c:tx>
      <c:overlay val="0"/>
      <c:spPr>
        <a:noFill/>
        <a:ln w="0">
          <a:noFill/>
        </a:ln>
      </c:spPr>
    </c:title>
    <c:autoTitleDeleted val="0"/>
    <c:plotArea>
      <c:layout/>
      <c:lineChart>
        <c:grouping val="standard"/>
        <c:varyColors val="0"/>
        <c:ser>
          <c:idx val="0"/>
          <c:order val="0"/>
          <c:tx>
            <c:strRef>
              <c:f>'[2]M9 Composite'!$C$8</c:f>
              <c:strCache>
                <c:ptCount val="1"/>
                <c:pt idx="0">
                  <c:v>3.47</c:v>
                </c:pt>
              </c:strCache>
            </c:strRef>
          </c:tx>
          <c:spPr>
            <a:ln w="2844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'[2]M9 Composite'!$A$9:$A$18</c:f>
              <c:strCache>
                <c:ptCount val="10"/>
                <c:pt idx="0">
                  <c:v>[10-20)</c:v>
                </c:pt>
                <c:pt idx="1">
                  <c:v>[20-30)</c:v>
                </c:pt>
                <c:pt idx="2">
                  <c:v>[30-40)</c:v>
                </c:pt>
                <c:pt idx="3">
                  <c:v>[40-50)</c:v>
                </c:pt>
                <c:pt idx="4">
                  <c:v>[50-60)</c:v>
                </c:pt>
                <c:pt idx="5">
                  <c:v>[60-70)</c:v>
                </c:pt>
                <c:pt idx="6">
                  <c:v>[70-80)</c:v>
                </c:pt>
                <c:pt idx="7">
                  <c:v>[80-90)</c:v>
                </c:pt>
                <c:pt idx="8">
                  <c:v>[90-100)</c:v>
                </c:pt>
              </c:strCache>
            </c:strRef>
          </c:cat>
          <c:val>
            <c:numRef>
              <c:f>'[2]M9 Composite'!$C$9:$C$18</c:f>
              <c:numCache>
                <c:formatCode>General</c:formatCode>
                <c:ptCount val="10"/>
                <c:pt idx="0">
                  <c:v>5.0599999999999996</c:v>
                </c:pt>
                <c:pt idx="1">
                  <c:v>6.14</c:v>
                </c:pt>
                <c:pt idx="2">
                  <c:v>5.78</c:v>
                </c:pt>
                <c:pt idx="3">
                  <c:v>6.13</c:v>
                </c:pt>
                <c:pt idx="4">
                  <c:v>6.1</c:v>
                </c:pt>
                <c:pt idx="5">
                  <c:v>6.37</c:v>
                </c:pt>
                <c:pt idx="6">
                  <c:v>6.65</c:v>
                </c:pt>
                <c:pt idx="7">
                  <c:v>6.9</c:v>
                </c:pt>
                <c:pt idx="8">
                  <c:v>6.33</c:v>
                </c:pt>
              </c:numCache>
            </c:numRef>
          </c:val>
          <c:smooth val="1"/>
          <c:extLst>
            <c:ext xmlns:c16="http://schemas.microsoft.com/office/drawing/2014/chart" uri="{C3380CC4-5D6E-409C-BE32-E72D297353CC}">
              <c16:uniqueId val="{00000000-DE83-481A-94B6-6BE0B218F27E}"/>
            </c:ext>
          </c:extLst>
        </c:ser>
        <c:dLbls>
          <c:showLegendKey val="0"/>
          <c:showVal val="0"/>
          <c:showCatName val="0"/>
          <c:showSerName val="0"/>
          <c:showPercent val="0"/>
          <c:showBubbleSize val="0"/>
        </c:dLbls>
        <c:hiLowLines>
          <c:spPr>
            <a:ln w="0">
              <a:noFill/>
            </a:ln>
          </c:spPr>
        </c:hiLowLines>
        <c:smooth val="0"/>
        <c:axId val="4072317"/>
        <c:axId val="99312873"/>
      </c:lineChart>
      <c:catAx>
        <c:axId val="4072317"/>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Age Group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312873"/>
        <c:crosses val="autoZero"/>
        <c:auto val="1"/>
        <c:lblAlgn val="ctr"/>
        <c:lblOffset val="100"/>
        <c:noMultiLvlLbl val="0"/>
      </c:catAx>
      <c:valAx>
        <c:axId val="9931287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Avg Burden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7231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Feature Importance (Decision Tree)</a:t>
            </a:r>
          </a:p>
        </c:rich>
      </c:tx>
      <c:overlay val="0"/>
      <c:spPr>
        <a:noFill/>
        <a:ln w="0">
          <a:noFill/>
        </a:ln>
      </c:spPr>
    </c:title>
    <c:autoTitleDeleted val="0"/>
    <c:plotArea>
      <c:layout/>
      <c:barChart>
        <c:barDir val="bar"/>
        <c:grouping val="clustered"/>
        <c:varyColors val="0"/>
        <c:ser>
          <c:idx val="0"/>
          <c:order val="0"/>
          <c:tx>
            <c:strRef>
              <c:f>'[3]🔮 Prediction Model'!$C$17</c:f>
              <c:strCache>
                <c:ptCount val="1"/>
                <c:pt idx="0">
                  <c:v>DT Importance</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Prediction Model'!$B$18:$B$30</c:f>
              <c:strCache>
                <c:ptCount val="13"/>
                <c:pt idx="0">
                  <c:v>Prior Inpatient Visits</c:v>
                </c:pt>
                <c:pt idx="1">
                  <c:v>Number of Diagnoses</c:v>
                </c:pt>
                <c:pt idx="2">
                  <c:v>Prior Emergency Visits</c:v>
                </c:pt>
                <c:pt idx="3">
                  <c:v>Prior Outpatient Visits</c:v>
                </c:pt>
                <c:pt idx="4">
                  <c:v>Patient Age Group</c:v>
                </c:pt>
                <c:pt idx="5">
                  <c:v>Diabetic Medication</c:v>
                </c:pt>
                <c:pt idx="6">
                  <c:v>Number of Medications</c:v>
                </c:pt>
                <c:pt idx="7">
                  <c:v>Length of Stay</c:v>
                </c:pt>
                <c:pt idx="8">
                  <c:v>Lab Procedures</c:v>
                </c:pt>
                <c:pt idx="9">
                  <c:v>Non-Lab Procedures</c:v>
                </c:pt>
                <c:pt idx="10">
                  <c:v>Race / Ethnicity</c:v>
                </c:pt>
                <c:pt idx="11">
                  <c:v>Gender</c:v>
                </c:pt>
                <c:pt idx="12">
                  <c:v>Med Change</c:v>
                </c:pt>
              </c:strCache>
            </c:strRef>
          </c:cat>
          <c:val>
            <c:numRef>
              <c:f>'[3]🔮 Prediction Model'!$C$18:$C$30</c:f>
              <c:numCache>
                <c:formatCode>General</c:formatCode>
                <c:ptCount val="13"/>
                <c:pt idx="0">
                  <c:v>0.70106742971246905</c:v>
                </c:pt>
                <c:pt idx="1">
                  <c:v>8.3406434197336204E-2</c:v>
                </c:pt>
                <c:pt idx="2">
                  <c:v>4.7789407815195903E-2</c:v>
                </c:pt>
                <c:pt idx="3">
                  <c:v>4.2077734144000997E-2</c:v>
                </c:pt>
                <c:pt idx="4">
                  <c:v>3.9601694649572403E-2</c:v>
                </c:pt>
                <c:pt idx="5">
                  <c:v>3.2566712354951503E-2</c:v>
                </c:pt>
                <c:pt idx="6">
                  <c:v>1.6705907973136501E-2</c:v>
                </c:pt>
                <c:pt idx="7">
                  <c:v>1.4698937030586799E-2</c:v>
                </c:pt>
                <c:pt idx="8">
                  <c:v>1.2190212730193399E-2</c:v>
                </c:pt>
                <c:pt idx="9">
                  <c:v>8.5877611182549694E-3</c:v>
                </c:pt>
                <c:pt idx="10">
                  <c:v>1.3077682743023299E-3</c:v>
                </c:pt>
                <c:pt idx="11">
                  <c:v>0</c:v>
                </c:pt>
                <c:pt idx="12">
                  <c:v>0</c:v>
                </c:pt>
              </c:numCache>
            </c:numRef>
          </c:val>
          <c:extLst>
            <c:ext xmlns:c16="http://schemas.microsoft.com/office/drawing/2014/chart" uri="{C3380CC4-5D6E-409C-BE32-E72D297353CC}">
              <c16:uniqueId val="{00000000-3B3C-4BF5-B9ED-6114FBB3FC42}"/>
            </c:ext>
          </c:extLst>
        </c:ser>
        <c:dLbls>
          <c:showLegendKey val="0"/>
          <c:showVal val="0"/>
          <c:showCatName val="0"/>
          <c:showSerName val="0"/>
          <c:showPercent val="0"/>
          <c:showBubbleSize val="0"/>
        </c:dLbls>
        <c:gapWidth val="150"/>
        <c:axId val="50723749"/>
        <c:axId val="24442386"/>
      </c:barChart>
      <c:catAx>
        <c:axId val="50723749"/>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Importance Score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442386"/>
        <c:crosses val="autoZero"/>
        <c:auto val="1"/>
        <c:lblAlgn val="ctr"/>
        <c:lblOffset val="100"/>
        <c:noMultiLvlLbl val="0"/>
      </c:catAx>
      <c:valAx>
        <c:axId val="2444238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Feature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072374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Readmission Rate by Patient Segment</a:t>
            </a:r>
          </a:p>
        </c:rich>
      </c:tx>
      <c:overlay val="0"/>
      <c:spPr>
        <a:noFill/>
        <a:ln w="0">
          <a:noFill/>
        </a:ln>
      </c:spPr>
    </c:title>
    <c:autoTitleDeleted val="0"/>
    <c:plotArea>
      <c:layout/>
      <c:barChart>
        <c:barDir val="col"/>
        <c:grouping val="clustered"/>
        <c:varyColors val="0"/>
        <c:ser>
          <c:idx val="0"/>
          <c:order val="0"/>
          <c:tx>
            <c:strRef>
              <c:f>'[3]👥 Patient Segments'!$D$5</c:f>
              <c:strCache>
                <c:ptCount val="1"/>
                <c:pt idx="0">
                  <c:v>Readmit Rate</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 Patient Segments'!$B$6:$B$9</c:f>
              <c:strCache>
                <c:ptCount val="4"/>
                <c:pt idx="0">
                  <c:v>Frequent, Complex Patients</c:v>
                </c:pt>
                <c:pt idx="1">
                  <c:v>Multi-Condition Chronic</c:v>
                </c:pt>
                <c:pt idx="2">
                  <c:v>Moderate Utilizers</c:v>
                </c:pt>
                <c:pt idx="3">
                  <c:v>Low Utilization Patients</c:v>
                </c:pt>
              </c:strCache>
            </c:strRef>
          </c:cat>
          <c:val>
            <c:numRef>
              <c:f>'[3]👥 Patient Segments'!$D$6:$D$9</c:f>
              <c:numCache>
                <c:formatCode>General</c:formatCode>
                <c:ptCount val="4"/>
                <c:pt idx="0">
                  <c:v>0.748</c:v>
                </c:pt>
                <c:pt idx="1">
                  <c:v>0.47499999999999998</c:v>
                </c:pt>
                <c:pt idx="2">
                  <c:v>0.47199999999999998</c:v>
                </c:pt>
                <c:pt idx="3">
                  <c:v>0.371</c:v>
                </c:pt>
              </c:numCache>
            </c:numRef>
          </c:val>
          <c:extLst>
            <c:ext xmlns:c16="http://schemas.microsoft.com/office/drawing/2014/chart" uri="{C3380CC4-5D6E-409C-BE32-E72D297353CC}">
              <c16:uniqueId val="{00000000-8BA5-465E-9AA6-855B516C2F21}"/>
            </c:ext>
          </c:extLst>
        </c:ser>
        <c:dLbls>
          <c:showLegendKey val="0"/>
          <c:showVal val="0"/>
          <c:showCatName val="0"/>
          <c:showSerName val="0"/>
          <c:showPercent val="0"/>
          <c:showBubbleSize val="0"/>
        </c:dLbls>
        <c:gapWidth val="150"/>
        <c:axId val="84363358"/>
        <c:axId val="49676612"/>
      </c:barChart>
      <c:catAx>
        <c:axId val="84363358"/>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Segment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676612"/>
        <c:crosses val="autoZero"/>
        <c:auto val="1"/>
        <c:lblAlgn val="ctr"/>
        <c:lblOffset val="100"/>
        <c:noMultiLvlLbl val="0"/>
      </c:catAx>
      <c:valAx>
        <c:axId val="4967661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Readmission Rate</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36335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158715</xdr:colOff>
      <xdr:row>28</xdr:row>
      <xdr:rowOff>14490</xdr:rowOff>
    </xdr:to>
    <xdr:graphicFrame macro="">
      <xdr:nvGraphicFramePr>
        <xdr:cNvPr id="2" name="Chart 1">
          <a:extLst>
            <a:ext uri="{FF2B5EF4-FFF2-40B4-BE49-F238E27FC236}">
              <a16:creationId xmlns:a16="http://schemas.microsoft.com/office/drawing/2014/main" id="{4F7496D3-7E88-4808-A254-678450496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16</xdr:col>
      <xdr:colOff>158715</xdr:colOff>
      <xdr:row>28</xdr:row>
      <xdr:rowOff>107730</xdr:rowOff>
    </xdr:to>
    <xdr:graphicFrame macro="">
      <xdr:nvGraphicFramePr>
        <xdr:cNvPr id="2" name="Chart 1">
          <a:extLst>
            <a:ext uri="{FF2B5EF4-FFF2-40B4-BE49-F238E27FC236}">
              <a16:creationId xmlns:a16="http://schemas.microsoft.com/office/drawing/2014/main" id="{FD65630E-0B72-44EC-A232-80B851519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16</xdr:col>
      <xdr:colOff>78930</xdr:colOff>
      <xdr:row>25</xdr:row>
      <xdr:rowOff>1950</xdr:rowOff>
    </xdr:to>
    <xdr:graphicFrame macro="">
      <xdr:nvGraphicFramePr>
        <xdr:cNvPr id="2" name="Chart 1">
          <a:extLst>
            <a:ext uri="{FF2B5EF4-FFF2-40B4-BE49-F238E27FC236}">
              <a16:creationId xmlns:a16="http://schemas.microsoft.com/office/drawing/2014/main" id="{64A11C13-0140-4867-8976-ADDA387C5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14</xdr:col>
      <xdr:colOff>579810</xdr:colOff>
      <xdr:row>24</xdr:row>
      <xdr:rowOff>119340</xdr:rowOff>
    </xdr:to>
    <xdr:graphicFrame macro="">
      <xdr:nvGraphicFramePr>
        <xdr:cNvPr id="2" name="Chart 1">
          <a:extLst>
            <a:ext uri="{FF2B5EF4-FFF2-40B4-BE49-F238E27FC236}">
              <a16:creationId xmlns:a16="http://schemas.microsoft.com/office/drawing/2014/main" id="{BE0BA410-C6FE-4789-8892-3FED411D5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14</xdr:col>
      <xdr:colOff>580170</xdr:colOff>
      <xdr:row>24</xdr:row>
      <xdr:rowOff>130785</xdr:rowOff>
    </xdr:to>
    <xdr:graphicFrame macro="">
      <xdr:nvGraphicFramePr>
        <xdr:cNvPr id="2" name="Chart 1">
          <a:extLst>
            <a:ext uri="{FF2B5EF4-FFF2-40B4-BE49-F238E27FC236}">
              <a16:creationId xmlns:a16="http://schemas.microsoft.com/office/drawing/2014/main" id="{A71E0233-9BEB-4490-9431-652A2FFEB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16</xdr:col>
      <xdr:colOff>78930</xdr:colOff>
      <xdr:row>25</xdr:row>
      <xdr:rowOff>645</xdr:rowOff>
    </xdr:to>
    <xdr:graphicFrame macro="">
      <xdr:nvGraphicFramePr>
        <xdr:cNvPr id="2" name="Chart 1">
          <a:extLst>
            <a:ext uri="{FF2B5EF4-FFF2-40B4-BE49-F238E27FC236}">
              <a16:creationId xmlns:a16="http://schemas.microsoft.com/office/drawing/2014/main" id="{375941D0-2A3D-4947-8AD9-DF9C1E108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16</xdr:col>
      <xdr:colOff>78930</xdr:colOff>
      <xdr:row>20</xdr:row>
      <xdr:rowOff>151935</xdr:rowOff>
    </xdr:to>
    <xdr:graphicFrame macro="">
      <xdr:nvGraphicFramePr>
        <xdr:cNvPr id="2" name="Chart 1">
          <a:extLst>
            <a:ext uri="{FF2B5EF4-FFF2-40B4-BE49-F238E27FC236}">
              <a16:creationId xmlns:a16="http://schemas.microsoft.com/office/drawing/2014/main" id="{300C4807-C5D4-47C5-A8F2-F2559294C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16</xdr:col>
      <xdr:colOff>78930</xdr:colOff>
      <xdr:row>25</xdr:row>
      <xdr:rowOff>21615</xdr:rowOff>
    </xdr:to>
    <xdr:graphicFrame macro="">
      <xdr:nvGraphicFramePr>
        <xdr:cNvPr id="2" name="Chart 1">
          <a:extLst>
            <a:ext uri="{FF2B5EF4-FFF2-40B4-BE49-F238E27FC236}">
              <a16:creationId xmlns:a16="http://schemas.microsoft.com/office/drawing/2014/main" id="{601E1D9B-E946-45AB-B506-EC0305E7B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16</xdr:col>
      <xdr:colOff>78570</xdr:colOff>
      <xdr:row>25</xdr:row>
      <xdr:rowOff>20310</xdr:rowOff>
    </xdr:to>
    <xdr:graphicFrame macro="">
      <xdr:nvGraphicFramePr>
        <xdr:cNvPr id="2" name="Chart 1">
          <a:extLst>
            <a:ext uri="{FF2B5EF4-FFF2-40B4-BE49-F238E27FC236}">
              <a16:creationId xmlns:a16="http://schemas.microsoft.com/office/drawing/2014/main" id="{9DEE6BD9-1C05-4EE6-AF20-FB4FF27CA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18</xdr:col>
      <xdr:colOff>158715</xdr:colOff>
      <xdr:row>25</xdr:row>
      <xdr:rowOff>170445</xdr:rowOff>
    </xdr:to>
    <xdr:graphicFrame macro="">
      <xdr:nvGraphicFramePr>
        <xdr:cNvPr id="2" name="Chart 1">
          <a:extLst>
            <a:ext uri="{FF2B5EF4-FFF2-40B4-BE49-F238E27FC236}">
              <a16:creationId xmlns:a16="http://schemas.microsoft.com/office/drawing/2014/main" id="{895B863A-2EBB-4733-9046-FA0612EB6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20</xdr:col>
      <xdr:colOff>238500</xdr:colOff>
      <xdr:row>25</xdr:row>
      <xdr:rowOff>149475</xdr:rowOff>
    </xdr:to>
    <xdr:graphicFrame macro="">
      <xdr:nvGraphicFramePr>
        <xdr:cNvPr id="2" name="Chart 1">
          <a:extLst>
            <a:ext uri="{FF2B5EF4-FFF2-40B4-BE49-F238E27FC236}">
              <a16:creationId xmlns:a16="http://schemas.microsoft.com/office/drawing/2014/main" id="{4F369B22-94B7-449D-82FF-D8C2C5A7D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21</xdr:col>
      <xdr:colOff>238500</xdr:colOff>
      <xdr:row>28</xdr:row>
      <xdr:rowOff>107355</xdr:rowOff>
    </xdr:to>
    <xdr:graphicFrame macro="">
      <xdr:nvGraphicFramePr>
        <xdr:cNvPr id="2" name="Chart 1">
          <a:extLst>
            <a:ext uri="{FF2B5EF4-FFF2-40B4-BE49-F238E27FC236}">
              <a16:creationId xmlns:a16="http://schemas.microsoft.com/office/drawing/2014/main" id="{7E6B5079-A5D8-48DA-A0A9-D4C1DA12D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20</xdr:col>
      <xdr:colOff>238860</xdr:colOff>
      <xdr:row>28</xdr:row>
      <xdr:rowOff>86400</xdr:rowOff>
    </xdr:to>
    <xdr:graphicFrame macro="">
      <xdr:nvGraphicFramePr>
        <xdr:cNvPr id="2" name="Chart 1">
          <a:extLst>
            <a:ext uri="{FF2B5EF4-FFF2-40B4-BE49-F238E27FC236}">
              <a16:creationId xmlns:a16="http://schemas.microsoft.com/office/drawing/2014/main" id="{CDDF0C07-D633-4DB9-BAC6-BCD119E18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0</xdr:colOff>
      <xdr:row>2</xdr:row>
      <xdr:rowOff>0</xdr:rowOff>
    </xdr:from>
    <xdr:to>
      <xdr:col>18</xdr:col>
      <xdr:colOff>158715</xdr:colOff>
      <xdr:row>24</xdr:row>
      <xdr:rowOff>120975</xdr:rowOff>
    </xdr:to>
    <xdr:graphicFrame macro="">
      <xdr:nvGraphicFramePr>
        <xdr:cNvPr id="2" name="Chart 1">
          <a:extLst>
            <a:ext uri="{FF2B5EF4-FFF2-40B4-BE49-F238E27FC236}">
              <a16:creationId xmlns:a16="http://schemas.microsoft.com/office/drawing/2014/main" id="{778221AA-5832-430D-88AA-5B7052042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20</xdr:col>
      <xdr:colOff>244170</xdr:colOff>
      <xdr:row>20</xdr:row>
      <xdr:rowOff>68685</xdr:rowOff>
    </xdr:to>
    <xdr:graphicFrame macro="">
      <xdr:nvGraphicFramePr>
        <xdr:cNvPr id="2" name="Chart 1">
          <a:extLst>
            <a:ext uri="{FF2B5EF4-FFF2-40B4-BE49-F238E27FC236}">
              <a16:creationId xmlns:a16="http://schemas.microsoft.com/office/drawing/2014/main" id="{5EDE5C54-4245-4BDB-890C-9AAE27CA5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312965</xdr:colOff>
      <xdr:row>19</xdr:row>
      <xdr:rowOff>94645</xdr:rowOff>
    </xdr:from>
    <xdr:to>
      <xdr:col>9</xdr:col>
      <xdr:colOff>789215</xdr:colOff>
      <xdr:row>44</xdr:row>
      <xdr:rowOff>132664</xdr:rowOff>
    </xdr:to>
    <xdr:graphicFrame macro="">
      <xdr:nvGraphicFramePr>
        <xdr:cNvPr id="2" name="Chart 1">
          <a:extLst>
            <a:ext uri="{FF2B5EF4-FFF2-40B4-BE49-F238E27FC236}">
              <a16:creationId xmlns:a16="http://schemas.microsoft.com/office/drawing/2014/main" id="{3FABAC5E-8C3A-4EDC-9F95-DBEF4CE01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nda\Downloads\HA_Basic_Analysis.xlsx" TargetMode="External"/><Relationship Id="rId1" Type="http://schemas.openxmlformats.org/officeDocument/2006/relationships/externalLinkPath" Target="file:///C:\Users\manda\Downloads\HA_Basic_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anda\Downloads\HA_Medium_Analysis.xlsx" TargetMode="External"/><Relationship Id="rId1" Type="http://schemas.openxmlformats.org/officeDocument/2006/relationships/externalLinkPath" Target="file:///C:\Users\manda\Downloads\HA_Medium_Analysi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anda\Downloads\Hospital_Readmission_Analytics.xlsx" TargetMode="External"/><Relationship Id="rId1" Type="http://schemas.openxmlformats.org/officeDocument/2006/relationships/externalLinkPath" Target="file:///C:\Users\manda\Downloads\Hospital_Readmission_Analyt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Overview (2)"/>
      <sheetName val="Q1 Age (2)"/>
      <sheetName val="Q2 Specialty (2)"/>
      <sheetName val="Q3 Emergency (2)"/>
      <sheetName val="Q4 Diabetes (2)"/>
      <sheetName val="Q5 MedChange (2)"/>
      <sheetName val="Q6 LabProc (2)"/>
      <sheetName val="Q7 Demographics (2)"/>
      <sheetName val="Q8 Weight (2)"/>
      <sheetName val="Q9 Medications (2)"/>
      <sheetName val="Q10 Outpatient (2)"/>
      <sheetName val="📋 Overview"/>
      <sheetName val="Q1 Age"/>
      <sheetName val="Q2 Specialty"/>
      <sheetName val="Q3 Emergency"/>
      <sheetName val="Q4 Diabetes"/>
      <sheetName val="Q5 MedChange"/>
      <sheetName val="Q6 LabProc"/>
      <sheetName val="Q7 Demographics"/>
      <sheetName val="Q8 Weight"/>
      <sheetName val="Q9 Medications"/>
      <sheetName val="Q10 Outpatient"/>
    </sheetNames>
    <sheetDataSet>
      <sheetData sheetId="0" refreshError="1"/>
      <sheetData sheetId="1">
        <row r="4">
          <cell r="E4" t="str">
            <v>Readmission Rate (%)</v>
          </cell>
        </row>
        <row r="5">
          <cell r="A5" t="str">
            <v>[0-10)</v>
          </cell>
          <cell r="E5" t="str">
            <v>22.0%</v>
          </cell>
        </row>
        <row r="6">
          <cell r="A6" t="str">
            <v>[10-20)</v>
          </cell>
          <cell r="E6" t="str">
            <v>41.59%</v>
          </cell>
        </row>
        <row r="7">
          <cell r="A7" t="str">
            <v>[20-30)</v>
          </cell>
          <cell r="E7" t="str">
            <v>45.06%</v>
          </cell>
        </row>
        <row r="8">
          <cell r="A8" t="str">
            <v>[30-40)</v>
          </cell>
          <cell r="E8" t="str">
            <v>42.09%</v>
          </cell>
        </row>
        <row r="9">
          <cell r="A9" t="str">
            <v>[40-50)</v>
          </cell>
          <cell r="E9" t="str">
            <v>44.5%</v>
          </cell>
        </row>
        <row r="10">
          <cell r="A10" t="str">
            <v>[50-60)</v>
          </cell>
          <cell r="E10" t="str">
            <v>45.08%</v>
          </cell>
        </row>
        <row r="11">
          <cell r="A11" t="str">
            <v>[60-70)</v>
          </cell>
          <cell r="E11" t="str">
            <v>46.21%</v>
          </cell>
        </row>
        <row r="12">
          <cell r="A12" t="str">
            <v>[70-80)</v>
          </cell>
          <cell r="E12" t="str">
            <v>48.02%</v>
          </cell>
        </row>
        <row r="13">
          <cell r="A13" t="str">
            <v>[80-90)</v>
          </cell>
          <cell r="E13" t="str">
            <v>48.28%</v>
          </cell>
        </row>
        <row r="14">
          <cell r="A14" t="str">
            <v>[90-100)</v>
          </cell>
          <cell r="E14" t="str">
            <v>38.03%</v>
          </cell>
        </row>
      </sheetData>
      <sheetData sheetId="2">
        <row r="6">
          <cell r="A6" t="str">
            <v>Pediatrics-Pulmonology</v>
          </cell>
          <cell r="C6">
            <v>10.69</v>
          </cell>
        </row>
        <row r="7">
          <cell r="A7" t="str">
            <v>PhysicalMedicineandRehabilitation</v>
          </cell>
          <cell r="C7">
            <v>8.89</v>
          </cell>
        </row>
        <row r="8">
          <cell r="A8" t="str">
            <v>OutreachServices</v>
          </cell>
          <cell r="C8">
            <v>8.25</v>
          </cell>
        </row>
        <row r="9">
          <cell r="A9" t="str">
            <v>Pathology</v>
          </cell>
          <cell r="C9">
            <v>8.11</v>
          </cell>
        </row>
        <row r="10">
          <cell r="A10" t="str">
            <v>Psychiatry-Addictive</v>
          </cell>
          <cell r="C10">
            <v>8</v>
          </cell>
        </row>
        <row r="11">
          <cell r="A11" t="str">
            <v>Rheumatology</v>
          </cell>
          <cell r="C11">
            <v>7.88</v>
          </cell>
        </row>
        <row r="12">
          <cell r="A12" t="str">
            <v>Psychiatry-Child/Adolescent</v>
          </cell>
          <cell r="C12">
            <v>7.22</v>
          </cell>
        </row>
        <row r="13">
          <cell r="A13" t="str">
            <v>Proctology</v>
          </cell>
          <cell r="C13">
            <v>7</v>
          </cell>
        </row>
        <row r="14">
          <cell r="A14" t="str">
            <v>Psychiatry</v>
          </cell>
          <cell r="C14">
            <v>6.64</v>
          </cell>
        </row>
        <row r="15">
          <cell r="A15" t="str">
            <v>Psychology</v>
          </cell>
          <cell r="C15">
            <v>6.58</v>
          </cell>
        </row>
        <row r="16">
          <cell r="A16" t="str">
            <v>Surgery-Cardiovascular/Thoracic</v>
          </cell>
          <cell r="C16">
            <v>6.08</v>
          </cell>
        </row>
        <row r="17">
          <cell r="A17" t="str">
            <v>Surgery-Thoracic</v>
          </cell>
          <cell r="C17">
            <v>5.96</v>
          </cell>
        </row>
        <row r="18">
          <cell r="A18" t="str">
            <v>Surgery-Pediatric</v>
          </cell>
          <cell r="C18">
            <v>5.88</v>
          </cell>
        </row>
        <row r="19">
          <cell r="A19" t="str">
            <v>Obsterics&amp;Gynecology-GynecologicOnco</v>
          </cell>
          <cell r="C19">
            <v>5.3</v>
          </cell>
        </row>
        <row r="20">
          <cell r="A20" t="str">
            <v>Surgery-Colon&amp;Rectal</v>
          </cell>
          <cell r="C20">
            <v>5.29</v>
          </cell>
        </row>
      </sheetData>
      <sheetData sheetId="3">
        <row r="10">
          <cell r="E10" t="str">
            <v>Readmission Rate (%)</v>
          </cell>
        </row>
        <row r="11">
          <cell r="A11" t="str">
            <v>0</v>
          </cell>
          <cell r="E11" t="str">
            <v>44.04%</v>
          </cell>
        </row>
        <row r="12">
          <cell r="A12" t="str">
            <v>1</v>
          </cell>
          <cell r="E12" t="str">
            <v>58.71%</v>
          </cell>
        </row>
        <row r="13">
          <cell r="A13" t="str">
            <v>2</v>
          </cell>
          <cell r="E13" t="str">
            <v>67.57%</v>
          </cell>
        </row>
        <row r="14">
          <cell r="A14" t="str">
            <v>3-5</v>
          </cell>
          <cell r="E14" t="str">
            <v>75.52%</v>
          </cell>
        </row>
        <row r="15">
          <cell r="A15" t="str">
            <v>6+</v>
          </cell>
          <cell r="E15" t="str">
            <v>89.01%</v>
          </cell>
        </row>
      </sheetData>
      <sheetData sheetId="4">
        <row r="4">
          <cell r="E4" t="str">
            <v>Readmission Rate (%)</v>
          </cell>
        </row>
        <row r="5">
          <cell r="A5" t="str">
            <v>No — Non-Diabetic</v>
          </cell>
          <cell r="E5" t="str">
            <v>40.34%</v>
          </cell>
        </row>
        <row r="6">
          <cell r="A6" t="str">
            <v>Yes — Diabetic</v>
          </cell>
          <cell r="E6" t="str">
            <v>47.96%</v>
          </cell>
        </row>
      </sheetData>
      <sheetData sheetId="5">
        <row r="8">
          <cell r="E8" t="str">
            <v>Readmission Rate (%)</v>
          </cell>
        </row>
        <row r="9">
          <cell r="A9" t="str">
            <v>Yes — Medication Changed</v>
          </cell>
          <cell r="E9" t="str">
            <v>48.62%</v>
          </cell>
        </row>
        <row r="10">
          <cell r="A10" t="str">
            <v>No — No Change</v>
          </cell>
          <cell r="E10" t="str">
            <v>44.13%</v>
          </cell>
        </row>
      </sheetData>
      <sheetData sheetId="6">
        <row r="9">
          <cell r="E9" t="str">
            <v>Readmission Rate (%)</v>
          </cell>
        </row>
        <row r="10">
          <cell r="A10" t="str">
            <v>1-20</v>
          </cell>
          <cell r="E10" t="str">
            <v>42.95%</v>
          </cell>
        </row>
        <row r="11">
          <cell r="A11" t="str">
            <v>21-40</v>
          </cell>
          <cell r="E11" t="str">
            <v>44.69%</v>
          </cell>
        </row>
        <row r="12">
          <cell r="A12" t="str">
            <v>41-60</v>
          </cell>
          <cell r="E12" t="str">
            <v>47.01%</v>
          </cell>
        </row>
        <row r="13">
          <cell r="A13" t="str">
            <v>61-80</v>
          </cell>
          <cell r="E13" t="str">
            <v>49.67%</v>
          </cell>
        </row>
        <row r="14">
          <cell r="A14" t="str">
            <v>81+</v>
          </cell>
          <cell r="E14" t="str">
            <v>43.98%</v>
          </cell>
        </row>
      </sheetData>
      <sheetData sheetId="7">
        <row r="4">
          <cell r="E4" t="str">
            <v>Readmission Rate (%)</v>
          </cell>
        </row>
        <row r="5">
          <cell r="A5" t="str">
            <v>Caucasian</v>
          </cell>
          <cell r="E5" t="str">
            <v>47.04%</v>
          </cell>
        </row>
        <row r="6">
          <cell r="A6" t="str">
            <v>AfricanAmerican</v>
          </cell>
          <cell r="E6" t="str">
            <v>45.97%</v>
          </cell>
        </row>
        <row r="7">
          <cell r="A7" t="str">
            <v>Hispanic</v>
          </cell>
          <cell r="E7" t="str">
            <v>40.75%</v>
          </cell>
        </row>
        <row r="8">
          <cell r="A8" t="str">
            <v>Other</v>
          </cell>
          <cell r="E8" t="str">
            <v>40.19%</v>
          </cell>
        </row>
        <row r="9">
          <cell r="A9" t="str">
            <v>Asian</v>
          </cell>
          <cell r="E9" t="str">
            <v>39.22%</v>
          </cell>
        </row>
      </sheetData>
      <sheetData sheetId="8" refreshError="1"/>
      <sheetData sheetId="9">
        <row r="10">
          <cell r="D10" t="str">
            <v>Avg Stay (Days)</v>
          </cell>
        </row>
        <row r="11">
          <cell r="A11" t="str">
            <v>1-5</v>
          </cell>
          <cell r="D11">
            <v>2.2799999999999998</v>
          </cell>
        </row>
        <row r="12">
          <cell r="A12" t="str">
            <v>6-10</v>
          </cell>
          <cell r="D12">
            <v>3.02</v>
          </cell>
        </row>
        <row r="13">
          <cell r="A13" t="str">
            <v>11-15</v>
          </cell>
          <cell r="D13">
            <v>3.84</v>
          </cell>
        </row>
        <row r="14">
          <cell r="A14" t="str">
            <v>16-20</v>
          </cell>
          <cell r="D14">
            <v>4.7</v>
          </cell>
        </row>
        <row r="15">
          <cell r="A15" t="str">
            <v>21-30</v>
          </cell>
          <cell r="D15">
            <v>6</v>
          </cell>
        </row>
        <row r="16">
          <cell r="A16" t="str">
            <v>31+</v>
          </cell>
          <cell r="D16">
            <v>8.02</v>
          </cell>
        </row>
      </sheetData>
      <sheetData sheetId="10">
        <row r="9">
          <cell r="E9" t="str">
            <v>Readmission Rate (%)</v>
          </cell>
        </row>
        <row r="10">
          <cell r="A10" t="str">
            <v>0</v>
          </cell>
          <cell r="E10" t="str">
            <v>43.78%</v>
          </cell>
        </row>
        <row r="11">
          <cell r="A11" t="str">
            <v>1</v>
          </cell>
          <cell r="E11" t="str">
            <v>57.76%</v>
          </cell>
        </row>
        <row r="12">
          <cell r="A12" t="str">
            <v>2</v>
          </cell>
          <cell r="E12" t="str">
            <v>59.94%</v>
          </cell>
        </row>
        <row r="13">
          <cell r="A13" t="str">
            <v>3-5</v>
          </cell>
          <cell r="E13" t="str">
            <v>56.88%</v>
          </cell>
        </row>
        <row r="14">
          <cell r="A14" t="str">
            <v>6+</v>
          </cell>
          <cell r="E14" t="str">
            <v>65.14%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Overview"/>
      <sheetName val="M1 Comorbidity"/>
      <sheetName val="M2 Inpatient"/>
      <sheetName val="M3 Demographics"/>
      <sheetName val="M4 Diagnosis"/>
      <sheetName val="M5 Visit Patterns"/>
      <sheetName val="M6 Diabetic Meds"/>
      <sheetName val="M7 Specialty Meds"/>
      <sheetName val="M8 Weight Diag"/>
      <sheetName val="M9 Composite"/>
      <sheetName val="M10 Satisfaction"/>
    </sheetNames>
    <sheetDataSet>
      <sheetData sheetId="0"/>
      <sheetData sheetId="1">
        <row r="11">
          <cell r="F11" t="str">
            <v>34.05%</v>
          </cell>
        </row>
        <row r="12">
          <cell r="A12" t="str">
            <v>Low (4-6)</v>
          </cell>
          <cell r="F12" t="str">
            <v>39.66%</v>
          </cell>
        </row>
        <row r="13">
          <cell r="A13" t="str">
            <v>Medium (7-9)</v>
          </cell>
          <cell r="F13" t="str">
            <v>49.41%</v>
          </cell>
        </row>
        <row r="14">
          <cell r="A14" t="str">
            <v>High (10-12)</v>
          </cell>
          <cell r="F14" t="str">
            <v>48.15%</v>
          </cell>
        </row>
        <row r="15">
          <cell r="A15" t="str">
            <v>Very High (13-16)</v>
          </cell>
          <cell r="F15" t="str">
            <v>50.0%</v>
          </cell>
        </row>
      </sheetData>
      <sheetData sheetId="2">
        <row r="10">
          <cell r="E10" t="str">
            <v>38.66%</v>
          </cell>
        </row>
        <row r="11">
          <cell r="A11" t="str">
            <v>1 Prior</v>
          </cell>
          <cell r="E11" t="str">
            <v>54.44%</v>
          </cell>
        </row>
        <row r="12">
          <cell r="A12" t="str">
            <v>2 Prior</v>
          </cell>
          <cell r="E12" t="str">
            <v>65.14%</v>
          </cell>
        </row>
        <row r="13">
          <cell r="A13" t="str">
            <v>3-5 Prior</v>
          </cell>
          <cell r="E13" t="str">
            <v>72.51%</v>
          </cell>
        </row>
        <row r="14">
          <cell r="A14" t="str">
            <v>6+ Prior</v>
          </cell>
          <cell r="E14" t="str">
            <v>85.79%</v>
          </cell>
        </row>
      </sheetData>
      <sheetData sheetId="3"/>
      <sheetData sheetId="4">
        <row r="6">
          <cell r="H6" t="str">
            <v>60.45%</v>
          </cell>
        </row>
        <row r="7">
          <cell r="B7" t="str">
            <v>Heart Failure</v>
          </cell>
          <cell r="H7" t="str">
            <v>58.61%</v>
          </cell>
        </row>
        <row r="8">
          <cell r="B8" t="str">
            <v>Pneumonia</v>
          </cell>
          <cell r="H8" t="str">
            <v>47.87%</v>
          </cell>
        </row>
        <row r="9">
          <cell r="B9" t="str">
            <v>Cardiac Dysrhythmias</v>
          </cell>
          <cell r="H9" t="str">
            <v>46.5%</v>
          </cell>
        </row>
        <row r="10">
          <cell r="B10" t="str">
            <v>General Symptoms</v>
          </cell>
          <cell r="H10" t="str">
            <v>46.11%</v>
          </cell>
        </row>
        <row r="11">
          <cell r="B11" t="str">
            <v>Cellulitis</v>
          </cell>
          <cell r="H11" t="str">
            <v>45.88%</v>
          </cell>
        </row>
        <row r="12">
          <cell r="B12" t="str">
            <v>Coronary Artery Disease</v>
          </cell>
          <cell r="H12" t="str">
            <v>42.27%</v>
          </cell>
        </row>
        <row r="13">
          <cell r="B13" t="str">
            <v>Chest/Respiratory Symptoms</v>
          </cell>
          <cell r="H13" t="str">
            <v>41.07%</v>
          </cell>
        </row>
        <row r="14">
          <cell r="B14" t="str">
            <v>Acute MI</v>
          </cell>
          <cell r="H14" t="str">
            <v>40.3%</v>
          </cell>
        </row>
        <row r="15">
          <cell r="B15" t="str">
            <v>Osteoarthrosis</v>
          </cell>
          <cell r="H15" t="str">
            <v>35.9%</v>
          </cell>
        </row>
      </sheetData>
      <sheetData sheetId="5"/>
      <sheetData sheetId="6"/>
      <sheetData sheetId="7">
        <row r="6">
          <cell r="G6" t="str">
            <v>55.1%</v>
          </cell>
        </row>
        <row r="7">
          <cell r="A7" t="str">
            <v>Emergency/Trauma</v>
          </cell>
          <cell r="G7" t="str">
            <v>50.2%</v>
          </cell>
        </row>
        <row r="8">
          <cell r="A8" t="str">
            <v>Family/GeneralPractice</v>
          </cell>
          <cell r="G8" t="str">
            <v>47.99%</v>
          </cell>
        </row>
        <row r="9">
          <cell r="A9" t="str">
            <v>InternalMedicine</v>
          </cell>
          <cell r="G9" t="str">
            <v>44.22%</v>
          </cell>
        </row>
        <row r="10">
          <cell r="A10" t="str">
            <v>Radiologist</v>
          </cell>
          <cell r="G10" t="str">
            <v>44.2%</v>
          </cell>
        </row>
        <row r="11">
          <cell r="A11" t="str">
            <v>Surgery-General</v>
          </cell>
          <cell r="G11" t="str">
            <v>43.44%</v>
          </cell>
        </row>
        <row r="12">
          <cell r="A12" t="str">
            <v>Cardiology</v>
          </cell>
          <cell r="G12" t="str">
            <v>43.36%</v>
          </cell>
        </row>
        <row r="13">
          <cell r="A13" t="str">
            <v>Psychiatry</v>
          </cell>
          <cell r="G13" t="str">
            <v>40.03%</v>
          </cell>
        </row>
        <row r="14">
          <cell r="A14" t="str">
            <v>Orthopedics</v>
          </cell>
          <cell r="G14" t="str">
            <v>33.44%</v>
          </cell>
        </row>
        <row r="15">
          <cell r="A15" t="str">
            <v>Orthopedics-Reconstructive</v>
          </cell>
          <cell r="G15" t="str">
            <v>30.17%</v>
          </cell>
        </row>
      </sheetData>
      <sheetData sheetId="8"/>
      <sheetData sheetId="9">
        <row r="8">
          <cell r="C8">
            <v>3.47</v>
          </cell>
        </row>
        <row r="9">
          <cell r="A9" t="str">
            <v>[10-20)</v>
          </cell>
          <cell r="C9">
            <v>5.0599999999999996</v>
          </cell>
        </row>
        <row r="10">
          <cell r="A10" t="str">
            <v>[20-30)</v>
          </cell>
          <cell r="C10">
            <v>6.14</v>
          </cell>
        </row>
        <row r="11">
          <cell r="A11" t="str">
            <v>[30-40)</v>
          </cell>
          <cell r="C11">
            <v>5.78</v>
          </cell>
        </row>
        <row r="12">
          <cell r="A12" t="str">
            <v>[40-50)</v>
          </cell>
          <cell r="C12">
            <v>6.13</v>
          </cell>
        </row>
        <row r="13">
          <cell r="A13" t="str">
            <v>[50-60)</v>
          </cell>
          <cell r="C13">
            <v>6.1</v>
          </cell>
        </row>
        <row r="14">
          <cell r="A14" t="str">
            <v>[60-70)</v>
          </cell>
          <cell r="C14">
            <v>6.37</v>
          </cell>
        </row>
        <row r="15">
          <cell r="A15" t="str">
            <v>[70-80)</v>
          </cell>
          <cell r="C15">
            <v>6.65</v>
          </cell>
        </row>
        <row r="16">
          <cell r="A16" t="str">
            <v>[80-90)</v>
          </cell>
          <cell r="C16">
            <v>6.9</v>
          </cell>
        </row>
        <row r="17">
          <cell r="A17" t="str">
            <v>[90-100)</v>
          </cell>
          <cell r="C17">
            <v>6.33</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Overview"/>
      <sheetName val="🔮 Prediction Model"/>
      <sheetName val="👥 Patient Segments"/>
      <sheetName val="💰 Financial Impact"/>
      <sheetName val="🏥 Social Determinants"/>
      <sheetName val="📅 Follow-Up Program"/>
    </sheetNames>
    <sheetDataSet>
      <sheetData sheetId="0"/>
      <sheetData sheetId="1">
        <row r="17">
          <cell r="C17" t="str">
            <v>DT Importance</v>
          </cell>
        </row>
        <row r="18">
          <cell r="B18" t="str">
            <v>Prior Inpatient Visits</v>
          </cell>
          <cell r="C18">
            <v>0.70106742971246905</v>
          </cell>
        </row>
        <row r="19">
          <cell r="B19" t="str">
            <v>Number of Diagnoses</v>
          </cell>
          <cell r="C19">
            <v>8.3406434197336204E-2</v>
          </cell>
        </row>
        <row r="20">
          <cell r="B20" t="str">
            <v>Prior Emergency Visits</v>
          </cell>
          <cell r="C20">
            <v>4.7789407815195903E-2</v>
          </cell>
        </row>
        <row r="21">
          <cell r="B21" t="str">
            <v>Prior Outpatient Visits</v>
          </cell>
          <cell r="C21">
            <v>4.2077734144000997E-2</v>
          </cell>
        </row>
        <row r="22">
          <cell r="B22" t="str">
            <v>Patient Age Group</v>
          </cell>
          <cell r="C22">
            <v>3.9601694649572403E-2</v>
          </cell>
        </row>
        <row r="23">
          <cell r="B23" t="str">
            <v>Diabetic Medication</v>
          </cell>
          <cell r="C23">
            <v>3.2566712354951503E-2</v>
          </cell>
        </row>
        <row r="24">
          <cell r="B24" t="str">
            <v>Number of Medications</v>
          </cell>
          <cell r="C24">
            <v>1.6705907973136501E-2</v>
          </cell>
        </row>
        <row r="25">
          <cell r="B25" t="str">
            <v>Length of Stay</v>
          </cell>
          <cell r="C25">
            <v>1.4698937030586799E-2</v>
          </cell>
        </row>
        <row r="26">
          <cell r="B26" t="str">
            <v>Lab Procedures</v>
          </cell>
          <cell r="C26">
            <v>1.2190212730193399E-2</v>
          </cell>
        </row>
        <row r="27">
          <cell r="B27" t="str">
            <v>Non-Lab Procedures</v>
          </cell>
          <cell r="C27">
            <v>8.5877611182549694E-3</v>
          </cell>
        </row>
        <row r="28">
          <cell r="B28" t="str">
            <v>Race / Ethnicity</v>
          </cell>
          <cell r="C28">
            <v>1.3077682743023299E-3</v>
          </cell>
        </row>
        <row r="29">
          <cell r="B29" t="str">
            <v>Gender</v>
          </cell>
          <cell r="C29">
            <v>0</v>
          </cell>
        </row>
        <row r="30">
          <cell r="B30" t="str">
            <v>Med Change</v>
          </cell>
          <cell r="C30">
            <v>0</v>
          </cell>
        </row>
      </sheetData>
      <sheetData sheetId="2">
        <row r="5">
          <cell r="D5" t="str">
            <v>Readmit Rate</v>
          </cell>
        </row>
        <row r="6">
          <cell r="B6" t="str">
            <v>Frequent, Complex Patients</v>
          </cell>
          <cell r="D6">
            <v>0.748</v>
          </cell>
        </row>
        <row r="7">
          <cell r="B7" t="str">
            <v>Multi-Condition Chronic</v>
          </cell>
          <cell r="D7">
            <v>0.47499999999999998</v>
          </cell>
        </row>
        <row r="8">
          <cell r="B8" t="str">
            <v>Moderate Utilizers</v>
          </cell>
          <cell r="D8">
            <v>0.47199999999999998</v>
          </cell>
        </row>
        <row r="9">
          <cell r="B9" t="str">
            <v>Low Utilization Patients</v>
          </cell>
          <cell r="D9">
            <v>0.371</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7FE7E-CDE7-4149-B520-A41DEB82FE45}">
  <dimension ref="A1:H21"/>
  <sheetViews>
    <sheetView workbookViewId="0">
      <selection activeCell="J7" sqref="J7"/>
    </sheetView>
  </sheetViews>
  <sheetFormatPr defaultColWidth="8.7109375" defaultRowHeight="15.75" x14ac:dyDescent="0.25"/>
  <cols>
    <col min="1" max="1" width="3.28515625" style="13" bestFit="1" customWidth="1"/>
    <col min="2" max="2" width="5.7109375" style="13" bestFit="1" customWidth="1"/>
    <col min="3" max="3" width="37.42578125" style="13" bestFit="1" customWidth="1"/>
    <col min="4" max="4" width="23.85546875" style="13" bestFit="1" customWidth="1"/>
    <col min="5" max="5" width="21.7109375" style="13" bestFit="1" customWidth="1"/>
    <col min="6" max="6" width="42.140625" style="13" bestFit="1" customWidth="1"/>
    <col min="7" max="7" width="14" style="13" customWidth="1"/>
    <col min="8" max="16384" width="8.7109375" style="13"/>
  </cols>
  <sheetData>
    <row r="1" spans="1:8" x14ac:dyDescent="0.25">
      <c r="A1" s="91" t="s">
        <v>0</v>
      </c>
      <c r="B1" s="91"/>
      <c r="C1" s="91"/>
      <c r="D1" s="91"/>
      <c r="E1" s="91"/>
      <c r="F1" s="91"/>
      <c r="G1" s="91"/>
      <c r="H1" s="91"/>
    </row>
    <row r="2" spans="1:8" x14ac:dyDescent="0.25">
      <c r="A2" s="91"/>
      <c r="B2" s="91"/>
      <c r="C2" s="91"/>
      <c r="D2" s="91"/>
      <c r="E2" s="91"/>
      <c r="F2" s="91"/>
      <c r="G2" s="91"/>
      <c r="H2" s="91"/>
    </row>
    <row r="3" spans="1:8" x14ac:dyDescent="0.25">
      <c r="A3" s="91"/>
      <c r="B3" s="91"/>
      <c r="C3" s="91"/>
      <c r="D3" s="91"/>
      <c r="E3" s="91"/>
      <c r="F3" s="91"/>
      <c r="G3" s="91"/>
      <c r="H3" s="91"/>
    </row>
    <row r="4" spans="1:8" x14ac:dyDescent="0.25">
      <c r="A4" s="92" t="s">
        <v>351</v>
      </c>
      <c r="B4" s="92"/>
      <c r="C4" s="92"/>
      <c r="D4" s="92"/>
      <c r="E4" s="92"/>
      <c r="F4" s="92"/>
      <c r="G4" s="92"/>
      <c r="H4" s="92"/>
    </row>
    <row r="6" spans="1:8" ht="16.5" x14ac:dyDescent="0.25">
      <c r="A6" s="93" t="s">
        <v>1</v>
      </c>
      <c r="B6" s="93"/>
      <c r="C6" s="93"/>
      <c r="D6" s="93"/>
      <c r="E6" s="93"/>
      <c r="F6" s="93"/>
      <c r="G6" s="93"/>
      <c r="H6" s="93"/>
    </row>
    <row r="7" spans="1:8" ht="66" x14ac:dyDescent="0.25">
      <c r="B7" s="14" t="s">
        <v>2</v>
      </c>
      <c r="C7" s="14" t="s">
        <v>3</v>
      </c>
      <c r="D7" s="14" t="s">
        <v>4</v>
      </c>
      <c r="E7" s="14" t="s">
        <v>5</v>
      </c>
      <c r="F7" s="14" t="s">
        <v>6</v>
      </c>
      <c r="G7" s="14" t="s">
        <v>7</v>
      </c>
    </row>
    <row r="8" spans="1:8" ht="33" x14ac:dyDescent="0.25">
      <c r="B8" s="15" t="s">
        <v>8</v>
      </c>
      <c r="C8" s="15" t="s">
        <v>9</v>
      </c>
      <c r="D8" s="15" t="s">
        <v>10</v>
      </c>
      <c r="E8" s="15" t="s">
        <v>11</v>
      </c>
      <c r="F8" s="15" t="s">
        <v>12</v>
      </c>
      <c r="G8" s="15" t="s">
        <v>13</v>
      </c>
    </row>
    <row r="10" spans="1:8" ht="16.5" x14ac:dyDescent="0.25">
      <c r="A10" s="93" t="s">
        <v>14</v>
      </c>
      <c r="B10" s="93"/>
      <c r="C10" s="93"/>
      <c r="D10" s="93"/>
      <c r="E10" s="93"/>
      <c r="F10" s="93"/>
      <c r="G10" s="93"/>
      <c r="H10" s="93"/>
    </row>
    <row r="11" spans="1:8" ht="16.5" x14ac:dyDescent="0.25">
      <c r="A11" s="16"/>
      <c r="B11" s="16"/>
      <c r="C11" s="16" t="s">
        <v>16</v>
      </c>
      <c r="D11" s="16" t="s">
        <v>17</v>
      </c>
      <c r="E11" s="16" t="s">
        <v>18</v>
      </c>
      <c r="F11" s="16" t="s">
        <v>19</v>
      </c>
      <c r="G11" s="16" t="s">
        <v>20</v>
      </c>
    </row>
    <row r="12" spans="1:8" ht="31.5" x14ac:dyDescent="0.25">
      <c r="A12" s="17">
        <v>1</v>
      </c>
      <c r="B12" s="18" t="s">
        <v>21</v>
      </c>
      <c r="C12" s="18" t="s">
        <v>22</v>
      </c>
      <c r="D12" s="18" t="s">
        <v>23</v>
      </c>
      <c r="E12" s="18" t="s">
        <v>24</v>
      </c>
      <c r="F12" s="18" t="s">
        <v>25</v>
      </c>
      <c r="G12" s="18" t="s">
        <v>26</v>
      </c>
    </row>
    <row r="13" spans="1:8" ht="31.5" x14ac:dyDescent="0.25">
      <c r="A13" s="19">
        <v>2</v>
      </c>
      <c r="B13" s="20" t="s">
        <v>27</v>
      </c>
      <c r="C13" s="20" t="s">
        <v>28</v>
      </c>
      <c r="D13" s="20" t="s">
        <v>29</v>
      </c>
      <c r="E13" s="20" t="s">
        <v>30</v>
      </c>
      <c r="F13" s="20" t="s">
        <v>31</v>
      </c>
      <c r="G13" s="20" t="s">
        <v>32</v>
      </c>
    </row>
    <row r="14" spans="1:8" ht="31.5" x14ac:dyDescent="0.25">
      <c r="A14" s="17">
        <v>3</v>
      </c>
      <c r="B14" s="18" t="s">
        <v>33</v>
      </c>
      <c r="C14" s="18" t="s">
        <v>34</v>
      </c>
      <c r="D14" s="18" t="s">
        <v>35</v>
      </c>
      <c r="E14" s="18" t="s">
        <v>36</v>
      </c>
      <c r="F14" s="18" t="s">
        <v>37</v>
      </c>
      <c r="G14" s="18" t="s">
        <v>38</v>
      </c>
    </row>
    <row r="15" spans="1:8" ht="31.5" x14ac:dyDescent="0.25">
      <c r="A15" s="19">
        <v>4</v>
      </c>
      <c r="B15" s="20" t="s">
        <v>39</v>
      </c>
      <c r="C15" s="20" t="s">
        <v>40</v>
      </c>
      <c r="D15" s="20" t="s">
        <v>41</v>
      </c>
      <c r="E15" s="20" t="s">
        <v>24</v>
      </c>
      <c r="F15" s="20" t="s">
        <v>42</v>
      </c>
      <c r="G15" s="20" t="s">
        <v>43</v>
      </c>
    </row>
    <row r="16" spans="1:8" ht="47.25" x14ac:dyDescent="0.25">
      <c r="A16" s="17">
        <v>5</v>
      </c>
      <c r="B16" s="18" t="s">
        <v>44</v>
      </c>
      <c r="C16" s="18" t="s">
        <v>45</v>
      </c>
      <c r="D16" s="18" t="s">
        <v>46</v>
      </c>
      <c r="E16" s="18" t="s">
        <v>47</v>
      </c>
      <c r="F16" s="18" t="s">
        <v>48</v>
      </c>
      <c r="G16" s="18" t="s">
        <v>49</v>
      </c>
    </row>
    <row r="17" spans="1:7" ht="47.25" x14ac:dyDescent="0.25">
      <c r="A17" s="19">
        <v>6</v>
      </c>
      <c r="B17" s="20" t="s">
        <v>50</v>
      </c>
      <c r="C17" s="20" t="s">
        <v>51</v>
      </c>
      <c r="D17" s="20" t="s">
        <v>52</v>
      </c>
      <c r="E17" s="20" t="s">
        <v>36</v>
      </c>
      <c r="F17" s="20" t="s">
        <v>53</v>
      </c>
      <c r="G17" s="20" t="s">
        <v>54</v>
      </c>
    </row>
    <row r="18" spans="1:7" ht="47.25" x14ac:dyDescent="0.25">
      <c r="A18" s="17">
        <v>7</v>
      </c>
      <c r="B18" s="18" t="s">
        <v>55</v>
      </c>
      <c r="C18" s="18" t="s">
        <v>56</v>
      </c>
      <c r="D18" s="18" t="s">
        <v>57</v>
      </c>
      <c r="E18" s="18" t="s">
        <v>24</v>
      </c>
      <c r="F18" s="18" t="s">
        <v>58</v>
      </c>
      <c r="G18" s="18" t="s">
        <v>59</v>
      </c>
    </row>
    <row r="19" spans="1:7" ht="31.5" x14ac:dyDescent="0.25">
      <c r="A19" s="19">
        <v>8</v>
      </c>
      <c r="B19" s="20" t="s">
        <v>60</v>
      </c>
      <c r="C19" s="20" t="s">
        <v>61</v>
      </c>
      <c r="D19" s="20" t="s">
        <v>62</v>
      </c>
      <c r="E19" s="20" t="s">
        <v>63</v>
      </c>
      <c r="F19" s="20" t="s">
        <v>64</v>
      </c>
      <c r="G19" s="20" t="s">
        <v>65</v>
      </c>
    </row>
    <row r="20" spans="1:7" ht="31.5" x14ac:dyDescent="0.25">
      <c r="A20" s="17">
        <v>9</v>
      </c>
      <c r="B20" s="18" t="s">
        <v>66</v>
      </c>
      <c r="C20" s="18" t="s">
        <v>67</v>
      </c>
      <c r="D20" s="18" t="s">
        <v>68</v>
      </c>
      <c r="E20" s="18" t="s">
        <v>69</v>
      </c>
      <c r="F20" s="18" t="s">
        <v>70</v>
      </c>
      <c r="G20" s="18" t="s">
        <v>71</v>
      </c>
    </row>
    <row r="21" spans="1:7" ht="47.25" x14ac:dyDescent="0.25">
      <c r="A21" s="19">
        <v>10</v>
      </c>
      <c r="B21" s="20" t="s">
        <v>72</v>
      </c>
      <c r="C21" s="20" t="s">
        <v>73</v>
      </c>
      <c r="D21" s="20" t="s">
        <v>74</v>
      </c>
      <c r="E21" s="20" t="s">
        <v>36</v>
      </c>
      <c r="F21" s="20" t="s">
        <v>75</v>
      </c>
      <c r="G21" s="20" t="s">
        <v>76</v>
      </c>
    </row>
  </sheetData>
  <mergeCells count="4">
    <mergeCell ref="A1:H3"/>
    <mergeCell ref="A4:H4"/>
    <mergeCell ref="A6:H6"/>
    <mergeCell ref="A10:H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19DF1-7587-441E-82E9-BB25882340F4}">
  <dimension ref="A1:J16"/>
  <sheetViews>
    <sheetView workbookViewId="0">
      <selection activeCell="F6" sqref="F6"/>
    </sheetView>
  </sheetViews>
  <sheetFormatPr defaultColWidth="8.7109375" defaultRowHeight="14.25" x14ac:dyDescent="0.2"/>
  <cols>
    <col min="1" max="1" width="12.5703125" style="21" bestFit="1" customWidth="1"/>
    <col min="2" max="2" width="15.42578125" style="21" bestFit="1" customWidth="1"/>
    <col min="3" max="4" width="13.28515625" style="21" bestFit="1" customWidth="1"/>
    <col min="5" max="5" width="15.28515625" style="21" bestFit="1" customWidth="1"/>
    <col min="6" max="16384" width="8.7109375" style="21"/>
  </cols>
  <sheetData>
    <row r="1" spans="1:10" ht="15" x14ac:dyDescent="0.2">
      <c r="A1" s="94" t="s">
        <v>77</v>
      </c>
      <c r="B1" s="94"/>
      <c r="C1" s="94"/>
      <c r="D1" s="94"/>
      <c r="E1" s="94"/>
      <c r="F1" s="94"/>
      <c r="G1" s="94"/>
      <c r="H1" s="94"/>
      <c r="I1" s="94"/>
      <c r="J1" s="94"/>
    </row>
    <row r="3" spans="1:10" ht="15" x14ac:dyDescent="0.2">
      <c r="A3" s="95" t="s">
        <v>78</v>
      </c>
      <c r="B3" s="95"/>
      <c r="C3" s="95"/>
      <c r="D3" s="95"/>
      <c r="E3" s="95"/>
    </row>
    <row r="4" spans="1:10" ht="30" x14ac:dyDescent="0.2">
      <c r="A4" s="22" t="s">
        <v>79</v>
      </c>
      <c r="B4" s="22" t="s">
        <v>80</v>
      </c>
      <c r="C4" s="22" t="s">
        <v>81</v>
      </c>
      <c r="D4" s="22" t="s">
        <v>82</v>
      </c>
      <c r="E4" s="22" t="s">
        <v>83</v>
      </c>
    </row>
    <row r="5" spans="1:10" ht="15" x14ac:dyDescent="0.2">
      <c r="A5" s="23" t="s">
        <v>84</v>
      </c>
      <c r="B5" s="24">
        <v>100</v>
      </c>
      <c r="C5" s="24">
        <v>22</v>
      </c>
      <c r="D5" s="24">
        <v>78</v>
      </c>
      <c r="E5" s="24" t="s">
        <v>85</v>
      </c>
    </row>
    <row r="6" spans="1:10" ht="15" x14ac:dyDescent="0.2">
      <c r="A6" s="25" t="s">
        <v>86</v>
      </c>
      <c r="B6" s="26">
        <v>428</v>
      </c>
      <c r="C6" s="26">
        <v>178</v>
      </c>
      <c r="D6" s="26">
        <v>250</v>
      </c>
      <c r="E6" s="26" t="s">
        <v>87</v>
      </c>
    </row>
    <row r="7" spans="1:10" ht="15" x14ac:dyDescent="0.2">
      <c r="A7" s="23" t="s">
        <v>88</v>
      </c>
      <c r="B7" s="24">
        <v>1154</v>
      </c>
      <c r="C7" s="24">
        <v>520</v>
      </c>
      <c r="D7" s="24">
        <v>634</v>
      </c>
      <c r="E7" s="24" t="s">
        <v>89</v>
      </c>
    </row>
    <row r="8" spans="1:10" ht="15" x14ac:dyDescent="0.2">
      <c r="A8" s="25" t="s">
        <v>90</v>
      </c>
      <c r="B8" s="26">
        <v>2414</v>
      </c>
      <c r="C8" s="26">
        <v>1016</v>
      </c>
      <c r="D8" s="26">
        <v>1398</v>
      </c>
      <c r="E8" s="26" t="s">
        <v>91</v>
      </c>
    </row>
    <row r="9" spans="1:10" ht="15" x14ac:dyDescent="0.2">
      <c r="A9" s="23" t="s">
        <v>92</v>
      </c>
      <c r="B9" s="24">
        <v>6324</v>
      </c>
      <c r="C9" s="24">
        <v>2814</v>
      </c>
      <c r="D9" s="24">
        <v>3510</v>
      </c>
      <c r="E9" s="24" t="s">
        <v>93</v>
      </c>
    </row>
    <row r="10" spans="1:10" ht="15" x14ac:dyDescent="0.2">
      <c r="A10" s="25" t="s">
        <v>94</v>
      </c>
      <c r="B10" s="26">
        <v>11378</v>
      </c>
      <c r="C10" s="26">
        <v>5129</v>
      </c>
      <c r="D10" s="26">
        <v>6249</v>
      </c>
      <c r="E10" s="26" t="s">
        <v>95</v>
      </c>
    </row>
    <row r="11" spans="1:10" ht="15" x14ac:dyDescent="0.2">
      <c r="A11" s="23" t="s">
        <v>96</v>
      </c>
      <c r="B11" s="24">
        <v>14845</v>
      </c>
      <c r="C11" s="24">
        <v>6860</v>
      </c>
      <c r="D11" s="24">
        <v>7985</v>
      </c>
      <c r="E11" s="24" t="s">
        <v>10</v>
      </c>
    </row>
    <row r="12" spans="1:10" ht="15" x14ac:dyDescent="0.2">
      <c r="A12" s="25" t="s">
        <v>97</v>
      </c>
      <c r="B12" s="26">
        <v>17031</v>
      </c>
      <c r="C12" s="26">
        <v>8179</v>
      </c>
      <c r="D12" s="26">
        <v>8852</v>
      </c>
      <c r="E12" s="26" t="s">
        <v>98</v>
      </c>
    </row>
    <row r="13" spans="1:10" ht="15" x14ac:dyDescent="0.2">
      <c r="A13" s="23" t="s">
        <v>99</v>
      </c>
      <c r="B13" s="24">
        <v>11080</v>
      </c>
      <c r="C13" s="24">
        <v>5349</v>
      </c>
      <c r="D13" s="24">
        <v>5731</v>
      </c>
      <c r="E13" s="24" t="s">
        <v>100</v>
      </c>
    </row>
    <row r="14" spans="1:10" ht="15" x14ac:dyDescent="0.2">
      <c r="A14" s="25" t="s">
        <v>101</v>
      </c>
      <c r="B14" s="26">
        <v>1833</v>
      </c>
      <c r="C14" s="26">
        <v>697</v>
      </c>
      <c r="D14" s="26">
        <v>1136</v>
      </c>
      <c r="E14" s="26" t="s">
        <v>102</v>
      </c>
    </row>
    <row r="16" spans="1:10" x14ac:dyDescent="0.2">
      <c r="A16" s="96" t="s">
        <v>289</v>
      </c>
      <c r="B16" s="96"/>
      <c r="C16" s="96"/>
      <c r="D16" s="96"/>
      <c r="E16" s="96"/>
    </row>
  </sheetData>
  <mergeCells count="3">
    <mergeCell ref="A1:J1"/>
    <mergeCell ref="A3:E3"/>
    <mergeCell ref="A16:E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3A967-5A2A-4117-B91B-12230FC41133}">
  <dimension ref="A1:J35"/>
  <sheetViews>
    <sheetView topLeftCell="A26" workbookViewId="0">
      <selection activeCell="A36" sqref="A36"/>
    </sheetView>
  </sheetViews>
  <sheetFormatPr defaultColWidth="8.7109375" defaultRowHeight="15" x14ac:dyDescent="0.25"/>
  <cols>
    <col min="1" max="1" width="36" customWidth="1"/>
    <col min="2" max="3" width="16" customWidth="1"/>
    <col min="4" max="4" width="8" customWidth="1"/>
  </cols>
  <sheetData>
    <row r="1" spans="1:10" ht="30" customHeight="1" x14ac:dyDescent="0.25">
      <c r="A1" s="86" t="s">
        <v>103</v>
      </c>
      <c r="B1" s="86"/>
      <c r="C1" s="86"/>
      <c r="D1" s="86"/>
      <c r="E1" s="86"/>
      <c r="F1" s="86"/>
      <c r="G1" s="86"/>
      <c r="H1" s="86"/>
      <c r="I1" s="86"/>
      <c r="J1" s="86"/>
    </row>
    <row r="3" spans="1:10" ht="15" customHeight="1" x14ac:dyDescent="0.25">
      <c r="A3" s="97" t="s">
        <v>104</v>
      </c>
      <c r="B3" s="97"/>
      <c r="C3" s="97"/>
      <c r="D3" s="97"/>
    </row>
    <row r="4" spans="1:10" x14ac:dyDescent="0.25">
      <c r="A4" s="6" t="s">
        <v>105</v>
      </c>
      <c r="B4" s="6" t="s">
        <v>80</v>
      </c>
      <c r="C4" s="6" t="s">
        <v>106</v>
      </c>
      <c r="D4" s="6" t="s">
        <v>107</v>
      </c>
    </row>
    <row r="5" spans="1:10" ht="15" customHeight="1" x14ac:dyDescent="0.25">
      <c r="A5" s="98" t="s">
        <v>108</v>
      </c>
      <c r="B5" s="98"/>
      <c r="C5" s="98"/>
      <c r="D5" s="98"/>
    </row>
    <row r="6" spans="1:10" x14ac:dyDescent="0.25">
      <c r="A6" s="9" t="s">
        <v>109</v>
      </c>
      <c r="B6" s="10">
        <v>16</v>
      </c>
      <c r="C6" s="10">
        <v>10.69</v>
      </c>
      <c r="D6" s="10">
        <v>1</v>
      </c>
    </row>
    <row r="7" spans="1:10" x14ac:dyDescent="0.25">
      <c r="A7" s="7" t="s">
        <v>110</v>
      </c>
      <c r="B7" s="8">
        <v>257</v>
      </c>
      <c r="C7" s="8">
        <v>8.89</v>
      </c>
      <c r="D7" s="8">
        <v>2</v>
      </c>
    </row>
    <row r="8" spans="1:10" x14ac:dyDescent="0.25">
      <c r="A8" s="9" t="s">
        <v>111</v>
      </c>
      <c r="B8" s="10">
        <v>4</v>
      </c>
      <c r="C8" s="10">
        <v>8.25</v>
      </c>
      <c r="D8" s="10">
        <v>3</v>
      </c>
    </row>
    <row r="9" spans="1:10" x14ac:dyDescent="0.25">
      <c r="A9" s="7" t="s">
        <v>112</v>
      </c>
      <c r="B9" s="8">
        <v>9</v>
      </c>
      <c r="C9" s="8">
        <v>8.11</v>
      </c>
      <c r="D9" s="8">
        <v>4</v>
      </c>
    </row>
    <row r="10" spans="1:10" x14ac:dyDescent="0.25">
      <c r="A10" s="9" t="s">
        <v>113</v>
      </c>
      <c r="B10" s="10">
        <v>1</v>
      </c>
      <c r="C10" s="10">
        <v>8</v>
      </c>
      <c r="D10" s="10">
        <v>5</v>
      </c>
    </row>
    <row r="11" spans="1:10" x14ac:dyDescent="0.25">
      <c r="A11" s="7" t="s">
        <v>114</v>
      </c>
      <c r="B11" s="8">
        <v>17</v>
      </c>
      <c r="C11" s="8">
        <v>7.88</v>
      </c>
      <c r="D11" s="8">
        <v>6</v>
      </c>
    </row>
    <row r="12" spans="1:10" x14ac:dyDescent="0.25">
      <c r="A12" s="9" t="s">
        <v>115</v>
      </c>
      <c r="B12" s="10">
        <v>9</v>
      </c>
      <c r="C12" s="10">
        <v>7.22</v>
      </c>
      <c r="D12" s="10">
        <v>7</v>
      </c>
    </row>
    <row r="13" spans="1:10" x14ac:dyDescent="0.25">
      <c r="A13" s="7" t="s">
        <v>116</v>
      </c>
      <c r="B13" s="8">
        <v>1</v>
      </c>
      <c r="C13" s="8">
        <v>7</v>
      </c>
      <c r="D13" s="8">
        <v>8</v>
      </c>
    </row>
    <row r="14" spans="1:10" x14ac:dyDescent="0.25">
      <c r="A14" s="9" t="s">
        <v>117</v>
      </c>
      <c r="B14" s="10">
        <v>602</v>
      </c>
      <c r="C14" s="10">
        <v>6.64</v>
      </c>
      <c r="D14" s="10">
        <v>9</v>
      </c>
    </row>
    <row r="15" spans="1:10" x14ac:dyDescent="0.25">
      <c r="A15" s="7" t="s">
        <v>118</v>
      </c>
      <c r="B15" s="8">
        <v>64</v>
      </c>
      <c r="C15" s="8">
        <v>6.58</v>
      </c>
      <c r="D15" s="8">
        <v>10</v>
      </c>
    </row>
    <row r="16" spans="1:10" x14ac:dyDescent="0.25">
      <c r="A16" s="9" t="s">
        <v>119</v>
      </c>
      <c r="B16" s="10">
        <v>421</v>
      </c>
      <c r="C16" s="10">
        <v>6.08</v>
      </c>
      <c r="D16" s="10">
        <v>11</v>
      </c>
    </row>
    <row r="17" spans="1:4" x14ac:dyDescent="0.25">
      <c r="A17" s="7" t="s">
        <v>120</v>
      </c>
      <c r="B17" s="8">
        <v>75</v>
      </c>
      <c r="C17" s="8">
        <v>5.96</v>
      </c>
      <c r="D17" s="8">
        <v>12</v>
      </c>
    </row>
    <row r="18" spans="1:4" x14ac:dyDescent="0.25">
      <c r="A18" s="9" t="s">
        <v>121</v>
      </c>
      <c r="B18" s="10">
        <v>8</v>
      </c>
      <c r="C18" s="10">
        <v>5.88</v>
      </c>
      <c r="D18" s="10">
        <v>13</v>
      </c>
    </row>
    <row r="19" spans="1:4" ht="25.5" x14ac:dyDescent="0.25">
      <c r="A19" s="7" t="s">
        <v>122</v>
      </c>
      <c r="B19" s="8">
        <v>10</v>
      </c>
      <c r="C19" s="8">
        <v>5.3</v>
      </c>
      <c r="D19" s="8">
        <v>14</v>
      </c>
    </row>
    <row r="20" spans="1:4" x14ac:dyDescent="0.25">
      <c r="A20" s="9" t="s">
        <v>123</v>
      </c>
      <c r="B20" s="10">
        <v>7</v>
      </c>
      <c r="C20" s="10">
        <v>5.29</v>
      </c>
      <c r="D20" s="10">
        <v>15</v>
      </c>
    </row>
    <row r="22" spans="1:4" ht="15" customHeight="1" x14ac:dyDescent="0.25">
      <c r="A22" s="97" t="s">
        <v>124</v>
      </c>
      <c r="B22" s="97"/>
      <c r="C22" s="97"/>
      <c r="D22" s="97"/>
    </row>
    <row r="23" spans="1:4" x14ac:dyDescent="0.25">
      <c r="A23" s="6" t="s">
        <v>105</v>
      </c>
      <c r="B23" s="6" t="s">
        <v>80</v>
      </c>
      <c r="C23" s="6" t="s">
        <v>106</v>
      </c>
      <c r="D23" s="6" t="s">
        <v>107</v>
      </c>
    </row>
    <row r="24" spans="1:4" x14ac:dyDescent="0.25">
      <c r="A24" s="9" t="s">
        <v>125</v>
      </c>
      <c r="B24" s="10">
        <v>7</v>
      </c>
      <c r="C24" s="10">
        <v>2.71</v>
      </c>
      <c r="D24" s="10">
        <v>55</v>
      </c>
    </row>
    <row r="25" spans="1:4" x14ac:dyDescent="0.25">
      <c r="A25" s="7" t="s">
        <v>126</v>
      </c>
      <c r="B25" s="8">
        <v>6</v>
      </c>
      <c r="C25" s="8">
        <v>2.5</v>
      </c>
      <c r="D25" s="8">
        <v>56</v>
      </c>
    </row>
    <row r="26" spans="1:4" x14ac:dyDescent="0.25">
      <c r="A26" s="9" t="s">
        <v>127</v>
      </c>
      <c r="B26" s="10">
        <v>9</v>
      </c>
      <c r="C26" s="10">
        <v>2.44</v>
      </c>
      <c r="D26" s="10">
        <v>57</v>
      </c>
    </row>
    <row r="27" spans="1:4" x14ac:dyDescent="0.25">
      <c r="A27" s="7" t="s">
        <v>128</v>
      </c>
      <c r="B27" s="8">
        <v>34</v>
      </c>
      <c r="C27" s="8">
        <v>2.2599999999999998</v>
      </c>
      <c r="D27" s="8">
        <v>58</v>
      </c>
    </row>
    <row r="28" spans="1:4" x14ac:dyDescent="0.25">
      <c r="A28" s="9" t="s">
        <v>129</v>
      </c>
      <c r="B28" s="10">
        <v>18</v>
      </c>
      <c r="C28" s="10">
        <v>2.17</v>
      </c>
      <c r="D28" s="10">
        <v>59</v>
      </c>
    </row>
    <row r="29" spans="1:4" x14ac:dyDescent="0.25">
      <c r="A29" s="7" t="s">
        <v>130</v>
      </c>
      <c r="B29" s="8">
        <v>1</v>
      </c>
      <c r="C29" s="8">
        <v>2</v>
      </c>
      <c r="D29" s="8">
        <v>60</v>
      </c>
    </row>
    <row r="30" spans="1:4" x14ac:dyDescent="0.25">
      <c r="A30" s="9" t="s">
        <v>131</v>
      </c>
      <c r="B30" s="10">
        <v>2</v>
      </c>
      <c r="C30" s="10">
        <v>2</v>
      </c>
      <c r="D30" s="10">
        <v>61</v>
      </c>
    </row>
    <row r="31" spans="1:4" x14ac:dyDescent="0.25">
      <c r="A31" s="7" t="s">
        <v>132</v>
      </c>
      <c r="B31" s="8">
        <v>1</v>
      </c>
      <c r="C31" s="8">
        <v>2</v>
      </c>
      <c r="D31" s="8">
        <v>62</v>
      </c>
    </row>
    <row r="32" spans="1:4" x14ac:dyDescent="0.25">
      <c r="A32" s="9" t="s">
        <v>133</v>
      </c>
      <c r="B32" s="10">
        <v>14</v>
      </c>
      <c r="C32" s="10">
        <v>1.71</v>
      </c>
      <c r="D32" s="10">
        <v>63</v>
      </c>
    </row>
    <row r="33" spans="1:4" x14ac:dyDescent="0.25">
      <c r="A33" s="7" t="s">
        <v>134</v>
      </c>
      <c r="B33" s="8">
        <v>2</v>
      </c>
      <c r="C33" s="8">
        <v>1</v>
      </c>
      <c r="D33" s="8">
        <v>64</v>
      </c>
    </row>
    <row r="35" spans="1:4" ht="39.75" customHeight="1" x14ac:dyDescent="0.25">
      <c r="A35" s="90" t="s">
        <v>290</v>
      </c>
      <c r="B35" s="90"/>
      <c r="C35" s="90"/>
      <c r="D35" s="90"/>
    </row>
  </sheetData>
  <mergeCells count="5">
    <mergeCell ref="A1:J1"/>
    <mergeCell ref="A3:D3"/>
    <mergeCell ref="A5:D5"/>
    <mergeCell ref="A22:D22"/>
    <mergeCell ref="A35:D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E39FA-1344-444C-8D16-B62FD9F8B41A}">
  <dimension ref="A1:J17"/>
  <sheetViews>
    <sheetView topLeftCell="A7" workbookViewId="0">
      <selection activeCell="D5" sqref="D5"/>
    </sheetView>
  </sheetViews>
  <sheetFormatPr defaultColWidth="8.7109375" defaultRowHeight="15" x14ac:dyDescent="0.25"/>
  <cols>
    <col min="1" max="3" width="20" customWidth="1"/>
    <col min="4" max="4" width="16" customWidth="1"/>
    <col min="5" max="5" width="22" customWidth="1"/>
  </cols>
  <sheetData>
    <row r="1" spans="1:10" ht="18" x14ac:dyDescent="0.25">
      <c r="A1" s="86" t="s">
        <v>135</v>
      </c>
      <c r="B1" s="86"/>
      <c r="C1" s="86"/>
      <c r="D1" s="86"/>
      <c r="E1" s="86"/>
      <c r="F1" s="86"/>
      <c r="G1" s="86"/>
      <c r="H1" s="86"/>
      <c r="I1" s="86"/>
      <c r="J1" s="86"/>
    </row>
    <row r="3" spans="1:10" ht="15.75" x14ac:dyDescent="0.25">
      <c r="A3" s="97" t="s">
        <v>136</v>
      </c>
      <c r="B3" s="97"/>
      <c r="C3" s="97"/>
      <c r="D3" s="97"/>
      <c r="E3" s="97"/>
    </row>
    <row r="4" spans="1:10" x14ac:dyDescent="0.25">
      <c r="A4" s="6" t="s">
        <v>137</v>
      </c>
      <c r="B4" s="6" t="s">
        <v>138</v>
      </c>
      <c r="C4" s="6" t="s">
        <v>139</v>
      </c>
    </row>
    <row r="5" spans="1:10" ht="38.25" x14ac:dyDescent="0.25">
      <c r="A5" s="7" t="s">
        <v>140</v>
      </c>
      <c r="B5" s="8" t="s">
        <v>141</v>
      </c>
      <c r="C5" s="8" t="s">
        <v>292</v>
      </c>
    </row>
    <row r="6" spans="1:10" ht="25.5" x14ac:dyDescent="0.25">
      <c r="A6" s="9" t="s">
        <v>142</v>
      </c>
      <c r="B6" s="10" t="s">
        <v>143</v>
      </c>
      <c r="C6" s="10" t="s">
        <v>144</v>
      </c>
    </row>
    <row r="7" spans="1:10" ht="25.5" x14ac:dyDescent="0.25">
      <c r="A7" s="7" t="s">
        <v>4</v>
      </c>
      <c r="B7" s="8" t="s">
        <v>10</v>
      </c>
      <c r="C7" s="8" t="s">
        <v>145</v>
      </c>
    </row>
    <row r="9" spans="1:10" ht="15.75" x14ac:dyDescent="0.25">
      <c r="A9" s="97" t="s">
        <v>146</v>
      </c>
      <c r="B9" s="97"/>
      <c r="C9" s="97"/>
      <c r="D9" s="97"/>
      <c r="E9" s="97"/>
    </row>
    <row r="10" spans="1:10" x14ac:dyDescent="0.25">
      <c r="A10" s="6" t="s">
        <v>147</v>
      </c>
      <c r="B10" s="6" t="s">
        <v>80</v>
      </c>
      <c r="C10" s="6" t="s">
        <v>81</v>
      </c>
      <c r="D10" s="6" t="s">
        <v>82</v>
      </c>
      <c r="E10" s="6" t="s">
        <v>83</v>
      </c>
    </row>
    <row r="11" spans="1:10" x14ac:dyDescent="0.25">
      <c r="A11" s="7" t="s">
        <v>148</v>
      </c>
      <c r="B11" s="8">
        <v>59087</v>
      </c>
      <c r="C11" s="8">
        <v>26023</v>
      </c>
      <c r="D11" s="8">
        <v>33064</v>
      </c>
      <c r="E11" s="8" t="s">
        <v>149</v>
      </c>
    </row>
    <row r="12" spans="1:10" x14ac:dyDescent="0.25">
      <c r="A12" s="9" t="s">
        <v>150</v>
      </c>
      <c r="B12" s="10">
        <v>5117</v>
      </c>
      <c r="C12" s="10">
        <v>3004</v>
      </c>
      <c r="D12" s="10">
        <v>2113</v>
      </c>
      <c r="E12" s="10" t="s">
        <v>151</v>
      </c>
    </row>
    <row r="13" spans="1:10" x14ac:dyDescent="0.25">
      <c r="A13" s="7" t="s">
        <v>152</v>
      </c>
      <c r="B13" s="8">
        <v>1252</v>
      </c>
      <c r="C13" s="8">
        <v>846</v>
      </c>
      <c r="D13" s="8">
        <v>406</v>
      </c>
      <c r="E13" s="8" t="s">
        <v>153</v>
      </c>
    </row>
    <row r="14" spans="1:10" x14ac:dyDescent="0.25">
      <c r="A14" s="9" t="s">
        <v>154</v>
      </c>
      <c r="B14" s="10">
        <v>858</v>
      </c>
      <c r="C14" s="10">
        <v>648</v>
      </c>
      <c r="D14" s="10">
        <v>210</v>
      </c>
      <c r="E14" s="10" t="s">
        <v>155</v>
      </c>
    </row>
    <row r="15" spans="1:10" x14ac:dyDescent="0.25">
      <c r="A15" s="7" t="s">
        <v>156</v>
      </c>
      <c r="B15" s="8">
        <v>273</v>
      </c>
      <c r="C15" s="8">
        <v>243</v>
      </c>
      <c r="D15" s="8">
        <v>30</v>
      </c>
      <c r="E15" s="8" t="s">
        <v>157</v>
      </c>
    </row>
    <row r="17" spans="1:5" ht="39.75" customHeight="1" x14ac:dyDescent="0.25">
      <c r="A17" s="90" t="s">
        <v>291</v>
      </c>
      <c r="B17" s="90"/>
      <c r="C17" s="90"/>
      <c r="D17" s="90"/>
      <c r="E17" s="90"/>
    </row>
  </sheetData>
  <mergeCells count="4">
    <mergeCell ref="A1:J1"/>
    <mergeCell ref="A3:E3"/>
    <mergeCell ref="A9:E9"/>
    <mergeCell ref="A17:E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87C79-E968-4417-BD61-B4B7893B3440}">
  <dimension ref="A1:J10"/>
  <sheetViews>
    <sheetView workbookViewId="0">
      <selection activeCell="A12" sqref="A12"/>
    </sheetView>
  </sheetViews>
  <sheetFormatPr defaultColWidth="8.7109375" defaultRowHeight="15" x14ac:dyDescent="0.25"/>
  <cols>
    <col min="1" max="1" width="30" customWidth="1"/>
    <col min="2" max="2" width="16" customWidth="1"/>
    <col min="3" max="3" width="14" customWidth="1"/>
    <col min="4" max="4" width="16" customWidth="1"/>
    <col min="5" max="5" width="22" customWidth="1"/>
  </cols>
  <sheetData>
    <row r="1" spans="1:10" ht="18" x14ac:dyDescent="0.25">
      <c r="A1" s="86" t="s">
        <v>158</v>
      </c>
      <c r="B1" s="86"/>
      <c r="C1" s="86"/>
      <c r="D1" s="86"/>
      <c r="E1" s="86"/>
      <c r="F1" s="86"/>
      <c r="G1" s="86"/>
      <c r="H1" s="86"/>
      <c r="I1" s="86"/>
      <c r="J1" s="86"/>
    </row>
    <row r="3" spans="1:10" ht="15.75" x14ac:dyDescent="0.25">
      <c r="A3" s="97" t="s">
        <v>159</v>
      </c>
      <c r="B3" s="97"/>
      <c r="C3" s="97"/>
      <c r="D3" s="97"/>
      <c r="E3" s="97"/>
    </row>
    <row r="4" spans="1:10" x14ac:dyDescent="0.25">
      <c r="A4" s="6" t="s">
        <v>160</v>
      </c>
      <c r="B4" s="6" t="s">
        <v>80</v>
      </c>
      <c r="C4" s="6" t="s">
        <v>81</v>
      </c>
      <c r="D4" s="6" t="s">
        <v>82</v>
      </c>
      <c r="E4" s="6" t="s">
        <v>83</v>
      </c>
    </row>
    <row r="5" spans="1:10" x14ac:dyDescent="0.25">
      <c r="A5" s="7" t="s">
        <v>295</v>
      </c>
      <c r="B5" s="8">
        <v>15382</v>
      </c>
      <c r="C5" s="8">
        <v>6205</v>
      </c>
      <c r="D5" s="8">
        <v>9177</v>
      </c>
      <c r="E5" s="8" t="s">
        <v>161</v>
      </c>
    </row>
    <row r="6" spans="1:10" x14ac:dyDescent="0.25">
      <c r="A6" s="9" t="s">
        <v>294</v>
      </c>
      <c r="B6" s="10">
        <v>51205</v>
      </c>
      <c r="C6" s="10">
        <v>24559</v>
      </c>
      <c r="D6" s="10">
        <v>26646</v>
      </c>
      <c r="E6" s="10" t="s">
        <v>162</v>
      </c>
    </row>
    <row r="8" spans="1:10" ht="15" customHeight="1" x14ac:dyDescent="0.25">
      <c r="A8" s="99" t="s">
        <v>163</v>
      </c>
      <c r="B8" s="99"/>
      <c r="C8" s="99"/>
      <c r="D8" s="99"/>
      <c r="E8" s="99"/>
    </row>
    <row r="10" spans="1:10" ht="39.75" customHeight="1" x14ac:dyDescent="0.25">
      <c r="A10" s="90" t="s">
        <v>293</v>
      </c>
      <c r="B10" s="90"/>
      <c r="C10" s="90"/>
      <c r="D10" s="90"/>
      <c r="E10" s="90"/>
    </row>
  </sheetData>
  <mergeCells count="4">
    <mergeCell ref="A1:J1"/>
    <mergeCell ref="A3:E3"/>
    <mergeCell ref="A8:E8"/>
    <mergeCell ref="A10:E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93B04-E754-49CD-B6DB-298B30AA552E}">
  <dimension ref="A1:J12"/>
  <sheetViews>
    <sheetView workbookViewId="0">
      <selection activeCell="A12" sqref="A12:E12"/>
    </sheetView>
  </sheetViews>
  <sheetFormatPr defaultColWidth="8.7109375" defaultRowHeight="15" x14ac:dyDescent="0.25"/>
  <cols>
    <col min="1" max="1" width="28" customWidth="1"/>
    <col min="2" max="2" width="16" customWidth="1"/>
    <col min="3" max="3" width="14" customWidth="1"/>
    <col min="4" max="4" width="16" customWidth="1"/>
    <col min="5" max="5" width="22" customWidth="1"/>
  </cols>
  <sheetData>
    <row r="1" spans="1:10" ht="18" x14ac:dyDescent="0.25">
      <c r="A1" s="86" t="s">
        <v>164</v>
      </c>
      <c r="B1" s="86"/>
      <c r="C1" s="86"/>
      <c r="D1" s="86"/>
      <c r="E1" s="86"/>
      <c r="F1" s="86"/>
      <c r="G1" s="86"/>
      <c r="H1" s="86"/>
      <c r="I1" s="86"/>
      <c r="J1" s="86"/>
    </row>
    <row r="3" spans="1:10" ht="15.75" x14ac:dyDescent="0.25">
      <c r="A3" s="97" t="s">
        <v>165</v>
      </c>
      <c r="B3" s="97"/>
      <c r="C3" s="97"/>
      <c r="D3" s="97"/>
      <c r="E3" s="97"/>
    </row>
    <row r="4" spans="1:10" ht="25.5" x14ac:dyDescent="0.25">
      <c r="A4" s="6" t="s">
        <v>166</v>
      </c>
      <c r="B4" s="6" t="s">
        <v>167</v>
      </c>
      <c r="C4" s="6" t="s">
        <v>142</v>
      </c>
      <c r="D4" s="6" t="s">
        <v>168</v>
      </c>
      <c r="E4" s="6"/>
    </row>
    <row r="5" spans="1:10" x14ac:dyDescent="0.25">
      <c r="A5" s="7" t="s">
        <v>169</v>
      </c>
      <c r="B5" s="8">
        <v>1</v>
      </c>
      <c r="C5" s="8" t="s">
        <v>170</v>
      </c>
      <c r="D5" s="8" t="s">
        <v>171</v>
      </c>
      <c r="E5" s="8"/>
    </row>
    <row r="7" spans="1:10" ht="15.75" x14ac:dyDescent="0.25">
      <c r="A7" s="97" t="s">
        <v>172</v>
      </c>
      <c r="B7" s="97"/>
      <c r="C7" s="97"/>
      <c r="D7" s="97"/>
      <c r="E7" s="97"/>
    </row>
    <row r="8" spans="1:10" x14ac:dyDescent="0.25">
      <c r="A8" s="6" t="s">
        <v>173</v>
      </c>
      <c r="B8" s="6" t="s">
        <v>80</v>
      </c>
      <c r="C8" s="6" t="s">
        <v>81</v>
      </c>
      <c r="D8" s="6" t="s">
        <v>82</v>
      </c>
      <c r="E8" s="6" t="s">
        <v>83</v>
      </c>
    </row>
    <row r="9" spans="1:10" x14ac:dyDescent="0.25">
      <c r="A9" s="7" t="s">
        <v>296</v>
      </c>
      <c r="B9" s="8">
        <v>30693</v>
      </c>
      <c r="C9" s="8">
        <v>14923</v>
      </c>
      <c r="D9" s="8">
        <v>15770</v>
      </c>
      <c r="E9" s="8" t="s">
        <v>174</v>
      </c>
    </row>
    <row r="10" spans="1:10" x14ac:dyDescent="0.25">
      <c r="A10" s="9" t="s">
        <v>297</v>
      </c>
      <c r="B10" s="10">
        <v>35894</v>
      </c>
      <c r="C10" s="10">
        <v>15841</v>
      </c>
      <c r="D10" s="10">
        <v>20053</v>
      </c>
      <c r="E10" s="10" t="s">
        <v>175</v>
      </c>
    </row>
    <row r="12" spans="1:10" ht="39.75" customHeight="1" x14ac:dyDescent="0.25">
      <c r="A12" s="90" t="s">
        <v>288</v>
      </c>
      <c r="B12" s="90"/>
      <c r="C12" s="90"/>
      <c r="D12" s="90"/>
      <c r="E12" s="90"/>
    </row>
  </sheetData>
  <mergeCells count="4">
    <mergeCell ref="A1:J1"/>
    <mergeCell ref="A3:E3"/>
    <mergeCell ref="A7:E7"/>
    <mergeCell ref="A12:E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03FAA-A954-47F5-AA84-66CD6127D9F0}">
  <dimension ref="A1:J16"/>
  <sheetViews>
    <sheetView topLeftCell="A6" workbookViewId="0">
      <selection activeCell="A20" sqref="A20"/>
    </sheetView>
  </sheetViews>
  <sheetFormatPr defaultColWidth="8.7109375" defaultRowHeight="15" x14ac:dyDescent="0.25"/>
  <cols>
    <col min="1" max="1" width="24" customWidth="1"/>
    <col min="2" max="4" width="16" customWidth="1"/>
    <col min="5" max="5" width="22" customWidth="1"/>
  </cols>
  <sheetData>
    <row r="1" spans="1:10" ht="18" x14ac:dyDescent="0.25">
      <c r="A1" s="86" t="s">
        <v>176</v>
      </c>
      <c r="B1" s="86"/>
      <c r="C1" s="86"/>
      <c r="D1" s="86"/>
      <c r="E1" s="86"/>
      <c r="F1" s="86"/>
      <c r="G1" s="86"/>
      <c r="H1" s="86"/>
      <c r="I1" s="86"/>
      <c r="J1" s="86"/>
    </row>
    <row r="3" spans="1:10" ht="15.75" x14ac:dyDescent="0.25">
      <c r="A3" s="97" t="s">
        <v>177</v>
      </c>
      <c r="B3" s="97"/>
      <c r="C3" s="97"/>
      <c r="D3" s="97"/>
      <c r="E3" s="97"/>
    </row>
    <row r="4" spans="1:10" x14ac:dyDescent="0.25">
      <c r="A4" s="6" t="s">
        <v>137</v>
      </c>
      <c r="B4" s="6" t="s">
        <v>138</v>
      </c>
      <c r="C4" s="6" t="s">
        <v>139</v>
      </c>
      <c r="D4" s="6"/>
      <c r="E4" s="6"/>
    </row>
    <row r="5" spans="1:10" ht="51" x14ac:dyDescent="0.25">
      <c r="A5" s="7" t="s">
        <v>178</v>
      </c>
      <c r="B5" s="8" t="s">
        <v>179</v>
      </c>
      <c r="C5" s="8" t="s">
        <v>286</v>
      </c>
      <c r="D5" s="8"/>
      <c r="E5" s="8"/>
    </row>
    <row r="6" spans="1:10" ht="25.5" x14ac:dyDescent="0.25">
      <c r="A6" s="9" t="s">
        <v>142</v>
      </c>
      <c r="B6" s="10" t="s">
        <v>180</v>
      </c>
      <c r="C6" s="10" t="s">
        <v>181</v>
      </c>
      <c r="D6" s="10"/>
      <c r="E6" s="10"/>
    </row>
    <row r="8" spans="1:10" ht="15.75" x14ac:dyDescent="0.25">
      <c r="A8" s="97" t="s">
        <v>182</v>
      </c>
      <c r="B8" s="97"/>
      <c r="C8" s="97"/>
      <c r="D8" s="97"/>
      <c r="E8" s="97"/>
    </row>
    <row r="9" spans="1:10" x14ac:dyDescent="0.25">
      <c r="A9" s="6" t="s">
        <v>183</v>
      </c>
      <c r="B9" s="6" t="s">
        <v>80</v>
      </c>
      <c r="C9" s="6" t="s">
        <v>81</v>
      </c>
      <c r="D9" s="6" t="s">
        <v>82</v>
      </c>
      <c r="E9" s="6" t="s">
        <v>83</v>
      </c>
    </row>
    <row r="10" spans="1:10" x14ac:dyDescent="0.25">
      <c r="A10" s="9" t="s">
        <v>184</v>
      </c>
      <c r="B10" s="10">
        <v>9445</v>
      </c>
      <c r="C10" s="10">
        <v>4057</v>
      </c>
      <c r="D10" s="10">
        <v>5388</v>
      </c>
      <c r="E10" s="11" t="s">
        <v>185</v>
      </c>
    </row>
    <row r="11" spans="1:10" x14ac:dyDescent="0.25">
      <c r="A11" s="7" t="s">
        <v>186</v>
      </c>
      <c r="B11" s="8">
        <v>18261</v>
      </c>
      <c r="C11" s="8">
        <v>8160</v>
      </c>
      <c r="D11" s="8">
        <v>10101</v>
      </c>
      <c r="E11" s="12" t="s">
        <v>187</v>
      </c>
    </row>
    <row r="12" spans="1:10" x14ac:dyDescent="0.25">
      <c r="A12" s="9" t="s">
        <v>188</v>
      </c>
      <c r="B12" s="10">
        <v>26108</v>
      </c>
      <c r="C12" s="10">
        <v>12274</v>
      </c>
      <c r="D12" s="10">
        <v>13834</v>
      </c>
      <c r="E12" s="11" t="s">
        <v>189</v>
      </c>
    </row>
    <row r="13" spans="1:10" x14ac:dyDescent="0.25">
      <c r="A13" s="7" t="s">
        <v>190</v>
      </c>
      <c r="B13" s="8">
        <v>11518</v>
      </c>
      <c r="C13" s="8">
        <v>5721</v>
      </c>
      <c r="D13" s="8">
        <v>5797</v>
      </c>
      <c r="E13" s="12" t="s">
        <v>191</v>
      </c>
    </row>
    <row r="14" spans="1:10" x14ac:dyDescent="0.25">
      <c r="A14" s="9" t="s">
        <v>192</v>
      </c>
      <c r="B14" s="10">
        <v>1255</v>
      </c>
      <c r="C14" s="10">
        <v>552</v>
      </c>
      <c r="D14" s="10">
        <v>703</v>
      </c>
      <c r="E14" s="11" t="s">
        <v>193</v>
      </c>
    </row>
    <row r="16" spans="1:10" ht="39.75" customHeight="1" x14ac:dyDescent="0.25">
      <c r="A16" s="90" t="s">
        <v>287</v>
      </c>
      <c r="B16" s="90"/>
      <c r="C16" s="90"/>
      <c r="D16" s="90"/>
      <c r="E16" s="90"/>
    </row>
  </sheetData>
  <mergeCells count="4">
    <mergeCell ref="A1:J1"/>
    <mergeCell ref="A3:E3"/>
    <mergeCell ref="A8:E8"/>
    <mergeCell ref="A16:E1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B615-B71D-4EEA-B029-F212FF36FE84}">
  <dimension ref="A1:J17"/>
  <sheetViews>
    <sheetView workbookViewId="0">
      <selection activeCell="F7" sqref="F7"/>
    </sheetView>
  </sheetViews>
  <sheetFormatPr defaultColWidth="8.7109375" defaultRowHeight="15" x14ac:dyDescent="0.25"/>
  <cols>
    <col min="1" max="1" width="22" customWidth="1"/>
    <col min="2" max="2" width="16" customWidth="1"/>
    <col min="3" max="3" width="14" customWidth="1"/>
    <col min="4" max="4" width="16" customWidth="1"/>
    <col min="5" max="5" width="22" customWidth="1"/>
  </cols>
  <sheetData>
    <row r="1" spans="1:10" ht="18" x14ac:dyDescent="0.25">
      <c r="A1" s="86" t="s">
        <v>194</v>
      </c>
      <c r="B1" s="86"/>
      <c r="C1" s="86"/>
      <c r="D1" s="86"/>
      <c r="E1" s="86"/>
      <c r="F1" s="86"/>
      <c r="G1" s="86"/>
      <c r="H1" s="86"/>
      <c r="I1" s="86"/>
      <c r="J1" s="86"/>
    </row>
    <row r="3" spans="1:10" ht="15.75" x14ac:dyDescent="0.25">
      <c r="A3" s="97" t="s">
        <v>195</v>
      </c>
      <c r="B3" s="97"/>
      <c r="C3" s="97"/>
      <c r="D3" s="97"/>
      <c r="E3" s="97"/>
    </row>
    <row r="4" spans="1:10" x14ac:dyDescent="0.25">
      <c r="A4" s="6" t="s">
        <v>196</v>
      </c>
      <c r="B4" s="6" t="s">
        <v>80</v>
      </c>
      <c r="C4" s="6" t="s">
        <v>81</v>
      </c>
      <c r="D4" s="6" t="s">
        <v>82</v>
      </c>
      <c r="E4" s="6" t="s">
        <v>83</v>
      </c>
    </row>
    <row r="5" spans="1:10" x14ac:dyDescent="0.25">
      <c r="A5" s="7" t="s">
        <v>197</v>
      </c>
      <c r="B5" s="8">
        <v>49906</v>
      </c>
      <c r="C5" s="8">
        <v>23477</v>
      </c>
      <c r="D5" s="8">
        <v>26429</v>
      </c>
      <c r="E5" s="12" t="s">
        <v>198</v>
      </c>
    </row>
    <row r="6" spans="1:10" x14ac:dyDescent="0.25">
      <c r="A6" s="9" t="s">
        <v>199</v>
      </c>
      <c r="B6" s="10">
        <v>12406</v>
      </c>
      <c r="C6" s="10">
        <v>5703</v>
      </c>
      <c r="D6" s="10">
        <v>6703</v>
      </c>
      <c r="E6" s="11" t="s">
        <v>200</v>
      </c>
    </row>
    <row r="7" spans="1:10" x14ac:dyDescent="0.25">
      <c r="A7" s="7" t="s">
        <v>201</v>
      </c>
      <c r="B7" s="8">
        <v>1313</v>
      </c>
      <c r="C7" s="8">
        <v>535</v>
      </c>
      <c r="D7" s="8">
        <v>778</v>
      </c>
      <c r="E7" s="12" t="s">
        <v>202</v>
      </c>
    </row>
    <row r="8" spans="1:10" x14ac:dyDescent="0.25">
      <c r="A8" s="9" t="s">
        <v>203</v>
      </c>
      <c r="B8" s="10">
        <v>1050</v>
      </c>
      <c r="C8" s="10">
        <v>422</v>
      </c>
      <c r="D8" s="10">
        <v>628</v>
      </c>
      <c r="E8" s="11" t="s">
        <v>204</v>
      </c>
    </row>
    <row r="9" spans="1:10" x14ac:dyDescent="0.25">
      <c r="A9" s="7" t="s">
        <v>205</v>
      </c>
      <c r="B9" s="8">
        <v>408</v>
      </c>
      <c r="C9" s="8">
        <v>160</v>
      </c>
      <c r="D9" s="8">
        <v>248</v>
      </c>
      <c r="E9" s="12" t="s">
        <v>206</v>
      </c>
    </row>
    <row r="12" spans="1:10" ht="15.75" x14ac:dyDescent="0.25">
      <c r="A12" s="97" t="s">
        <v>207</v>
      </c>
      <c r="B12" s="97"/>
      <c r="C12" s="97"/>
      <c r="D12" s="97"/>
      <c r="E12" s="97"/>
    </row>
    <row r="13" spans="1:10" x14ac:dyDescent="0.25">
      <c r="A13" s="6" t="s">
        <v>208</v>
      </c>
      <c r="B13" s="6" t="s">
        <v>80</v>
      </c>
      <c r="C13" s="6" t="s">
        <v>81</v>
      </c>
      <c r="D13" s="6" t="s">
        <v>82</v>
      </c>
      <c r="E13" s="6" t="s">
        <v>83</v>
      </c>
    </row>
    <row r="14" spans="1:10" x14ac:dyDescent="0.25">
      <c r="A14" s="9" t="s">
        <v>209</v>
      </c>
      <c r="B14" s="10">
        <v>35973</v>
      </c>
      <c r="C14" s="10">
        <v>16854</v>
      </c>
      <c r="D14" s="10">
        <v>19119</v>
      </c>
      <c r="E14" s="10" t="s">
        <v>210</v>
      </c>
    </row>
    <row r="15" spans="1:10" x14ac:dyDescent="0.25">
      <c r="A15" s="7" t="s">
        <v>211</v>
      </c>
      <c r="B15" s="8">
        <v>30612</v>
      </c>
      <c r="C15" s="8">
        <v>13910</v>
      </c>
      <c r="D15" s="8">
        <v>16702</v>
      </c>
      <c r="E15" s="8" t="s">
        <v>212</v>
      </c>
    </row>
    <row r="17" spans="1:5" ht="39.75" customHeight="1" x14ac:dyDescent="0.25">
      <c r="A17" s="90" t="s">
        <v>285</v>
      </c>
      <c r="B17" s="90"/>
      <c r="C17" s="90"/>
      <c r="D17" s="90"/>
      <c r="E17" s="90"/>
    </row>
  </sheetData>
  <mergeCells count="4">
    <mergeCell ref="A1:J1"/>
    <mergeCell ref="A3:E3"/>
    <mergeCell ref="A12:E12"/>
    <mergeCell ref="A17:E1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8EB9-A2D3-4F05-8BBF-778E5BFA4C04}">
  <dimension ref="A1:J28"/>
  <sheetViews>
    <sheetView workbookViewId="0">
      <selection activeCell="C5" sqref="C5:C14"/>
    </sheetView>
  </sheetViews>
  <sheetFormatPr defaultColWidth="8.7109375" defaultRowHeight="15" x14ac:dyDescent="0.25"/>
  <cols>
    <col min="1" max="1" width="20" customWidth="1"/>
    <col min="2" max="2" width="16" customWidth="1"/>
    <col min="3" max="3" width="20" customWidth="1"/>
    <col min="4" max="4" width="30" customWidth="1"/>
    <col min="5" max="5" width="22" customWidth="1"/>
  </cols>
  <sheetData>
    <row r="1" spans="1:10" ht="30" customHeight="1" x14ac:dyDescent="0.25">
      <c r="A1" s="86" t="s">
        <v>213</v>
      </c>
      <c r="B1" s="86"/>
      <c r="C1" s="86"/>
      <c r="D1" s="86"/>
      <c r="E1" s="86"/>
      <c r="F1" s="86"/>
      <c r="G1" s="86"/>
      <c r="H1" s="86"/>
      <c r="I1" s="86"/>
      <c r="J1" s="86"/>
    </row>
    <row r="3" spans="1:10" ht="15" customHeight="1" x14ac:dyDescent="0.25">
      <c r="A3" s="97" t="s">
        <v>214</v>
      </c>
      <c r="B3" s="97"/>
      <c r="C3" s="97"/>
      <c r="D3" s="97"/>
    </row>
    <row r="4" spans="1:10" x14ac:dyDescent="0.25">
      <c r="A4" s="6" t="s">
        <v>215</v>
      </c>
      <c r="B4" s="6" t="s">
        <v>216</v>
      </c>
      <c r="C4" s="6" t="s">
        <v>217</v>
      </c>
      <c r="D4" s="6" t="s">
        <v>218</v>
      </c>
    </row>
    <row r="5" spans="1:10" x14ac:dyDescent="0.25">
      <c r="A5" s="7" t="s">
        <v>219</v>
      </c>
      <c r="B5" s="8">
        <v>64454</v>
      </c>
      <c r="C5" s="12" t="s">
        <v>220</v>
      </c>
      <c r="D5" s="8" t="s">
        <v>282</v>
      </c>
    </row>
    <row r="6" spans="1:10" x14ac:dyDescent="0.25">
      <c r="A6" s="9" t="s">
        <v>221</v>
      </c>
      <c r="B6" s="10">
        <v>900</v>
      </c>
      <c r="C6" s="11" t="s">
        <v>222</v>
      </c>
      <c r="D6" s="10" t="s">
        <v>283</v>
      </c>
    </row>
    <row r="7" spans="1:10" x14ac:dyDescent="0.25">
      <c r="A7" s="7" t="s">
        <v>223</v>
      </c>
      <c r="B7" s="8">
        <v>603</v>
      </c>
      <c r="C7" s="12" t="s">
        <v>224</v>
      </c>
      <c r="D7" s="8" t="s">
        <v>284</v>
      </c>
    </row>
    <row r="8" spans="1:10" x14ac:dyDescent="0.25">
      <c r="A8" s="9" t="s">
        <v>225</v>
      </c>
      <c r="B8" s="10">
        <v>416</v>
      </c>
      <c r="C8" s="11" t="s">
        <v>226</v>
      </c>
      <c r="D8" s="10" t="s">
        <v>284</v>
      </c>
    </row>
    <row r="9" spans="1:10" x14ac:dyDescent="0.25">
      <c r="A9" s="7" t="s">
        <v>227</v>
      </c>
      <c r="B9" s="8">
        <v>104</v>
      </c>
      <c r="C9" s="12" t="s">
        <v>228</v>
      </c>
      <c r="D9" s="8" t="s">
        <v>284</v>
      </c>
    </row>
    <row r="10" spans="1:10" x14ac:dyDescent="0.25">
      <c r="A10" s="9" t="s">
        <v>229</v>
      </c>
      <c r="B10" s="10">
        <v>52</v>
      </c>
      <c r="C10" s="11" t="s">
        <v>230</v>
      </c>
      <c r="D10" s="10" t="s">
        <v>284</v>
      </c>
    </row>
    <row r="11" spans="1:10" x14ac:dyDescent="0.25">
      <c r="A11" s="7" t="s">
        <v>231</v>
      </c>
      <c r="B11" s="8">
        <v>26</v>
      </c>
      <c r="C11" s="12" t="s">
        <v>232</v>
      </c>
      <c r="D11" s="8" t="s">
        <v>284</v>
      </c>
    </row>
    <row r="12" spans="1:10" x14ac:dyDescent="0.25">
      <c r="A12" s="9" t="s">
        <v>233</v>
      </c>
      <c r="B12" s="10">
        <v>20</v>
      </c>
      <c r="C12" s="11" t="s">
        <v>234</v>
      </c>
      <c r="D12" s="10" t="s">
        <v>284</v>
      </c>
    </row>
    <row r="13" spans="1:10" x14ac:dyDescent="0.25">
      <c r="A13" s="7" t="s">
        <v>235</v>
      </c>
      <c r="B13" s="8">
        <v>8</v>
      </c>
      <c r="C13" s="12" t="s">
        <v>236</v>
      </c>
      <c r="D13" s="8" t="s">
        <v>284</v>
      </c>
    </row>
    <row r="14" spans="1:10" x14ac:dyDescent="0.25">
      <c r="A14" s="9" t="s">
        <v>237</v>
      </c>
      <c r="B14" s="10">
        <v>4</v>
      </c>
      <c r="C14" s="11" t="s">
        <v>236</v>
      </c>
      <c r="D14" s="10" t="s">
        <v>284</v>
      </c>
    </row>
    <row r="16" spans="1:10" ht="15" customHeight="1" x14ac:dyDescent="0.25">
      <c r="A16" s="97" t="s">
        <v>281</v>
      </c>
      <c r="B16" s="97"/>
      <c r="C16" s="97"/>
      <c r="D16" s="97"/>
      <c r="E16" s="97"/>
    </row>
    <row r="17" spans="1:5" x14ac:dyDescent="0.25">
      <c r="A17" s="6" t="s">
        <v>215</v>
      </c>
      <c r="B17" s="6" t="s">
        <v>80</v>
      </c>
      <c r="C17" s="6" t="s">
        <v>81</v>
      </c>
      <c r="D17" s="6" t="s">
        <v>82</v>
      </c>
      <c r="E17" s="6" t="s">
        <v>83</v>
      </c>
    </row>
    <row r="18" spans="1:5" x14ac:dyDescent="0.25">
      <c r="A18" s="9" t="s">
        <v>237</v>
      </c>
      <c r="B18" s="10">
        <v>4</v>
      </c>
      <c r="C18" s="10">
        <v>4</v>
      </c>
      <c r="D18" s="10">
        <v>0</v>
      </c>
      <c r="E18" s="10" t="s">
        <v>238</v>
      </c>
    </row>
    <row r="19" spans="1:5" x14ac:dyDescent="0.25">
      <c r="A19" s="7" t="s">
        <v>231</v>
      </c>
      <c r="B19" s="8">
        <v>26</v>
      </c>
      <c r="C19" s="8">
        <v>21</v>
      </c>
      <c r="D19" s="8">
        <v>5</v>
      </c>
      <c r="E19" s="8" t="s">
        <v>239</v>
      </c>
    </row>
    <row r="20" spans="1:5" x14ac:dyDescent="0.25">
      <c r="A20" s="9" t="s">
        <v>225</v>
      </c>
      <c r="B20" s="10">
        <v>416</v>
      </c>
      <c r="C20" s="10">
        <v>244</v>
      </c>
      <c r="D20" s="10">
        <v>172</v>
      </c>
      <c r="E20" s="10" t="s">
        <v>240</v>
      </c>
    </row>
    <row r="21" spans="1:5" x14ac:dyDescent="0.25">
      <c r="A21" s="7" t="s">
        <v>227</v>
      </c>
      <c r="B21" s="8">
        <v>104</v>
      </c>
      <c r="C21" s="8">
        <v>51</v>
      </c>
      <c r="D21" s="8">
        <v>53</v>
      </c>
      <c r="E21" s="8" t="s">
        <v>241</v>
      </c>
    </row>
    <row r="22" spans="1:5" x14ac:dyDescent="0.25">
      <c r="A22" s="9" t="s">
        <v>233</v>
      </c>
      <c r="B22" s="10">
        <v>20</v>
      </c>
      <c r="C22" s="10">
        <v>5</v>
      </c>
      <c r="D22" s="10">
        <v>15</v>
      </c>
      <c r="E22" s="10" t="s">
        <v>242</v>
      </c>
    </row>
    <row r="23" spans="1:5" x14ac:dyDescent="0.25">
      <c r="A23" s="7" t="s">
        <v>235</v>
      </c>
      <c r="B23" s="8">
        <v>8</v>
      </c>
      <c r="C23" s="8">
        <v>3</v>
      </c>
      <c r="D23" s="8">
        <v>5</v>
      </c>
      <c r="E23" s="8" t="s">
        <v>243</v>
      </c>
    </row>
    <row r="24" spans="1:5" x14ac:dyDescent="0.25">
      <c r="A24" s="9" t="s">
        <v>229</v>
      </c>
      <c r="B24" s="10">
        <v>52</v>
      </c>
      <c r="C24" s="10">
        <v>30</v>
      </c>
      <c r="D24" s="10">
        <v>22</v>
      </c>
      <c r="E24" s="10" t="s">
        <v>244</v>
      </c>
    </row>
    <row r="25" spans="1:5" x14ac:dyDescent="0.25">
      <c r="A25" s="7" t="s">
        <v>223</v>
      </c>
      <c r="B25" s="8">
        <v>603</v>
      </c>
      <c r="C25" s="8">
        <v>322</v>
      </c>
      <c r="D25" s="8">
        <v>281</v>
      </c>
      <c r="E25" s="8" t="s">
        <v>245</v>
      </c>
    </row>
    <row r="26" spans="1:5" x14ac:dyDescent="0.25">
      <c r="A26" s="9" t="s">
        <v>221</v>
      </c>
      <c r="B26" s="10">
        <v>900</v>
      </c>
      <c r="C26" s="10">
        <v>528</v>
      </c>
      <c r="D26" s="10">
        <v>372</v>
      </c>
      <c r="E26" s="10" t="s">
        <v>246</v>
      </c>
    </row>
    <row r="28" spans="1:5" ht="39.75" customHeight="1" x14ac:dyDescent="0.25">
      <c r="A28" s="90" t="s">
        <v>280</v>
      </c>
      <c r="B28" s="90"/>
      <c r="C28" s="90"/>
      <c r="D28" s="90"/>
      <c r="E28" s="90"/>
    </row>
  </sheetData>
  <mergeCells count="4">
    <mergeCell ref="A1:J1"/>
    <mergeCell ref="A3:D3"/>
    <mergeCell ref="A16:E16"/>
    <mergeCell ref="A28:E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78BFF-99B0-4C7C-BC3F-3C5DC0B57902}">
  <dimension ref="A1:J18"/>
  <sheetViews>
    <sheetView workbookViewId="0">
      <selection activeCell="C11" sqref="C11"/>
    </sheetView>
  </sheetViews>
  <sheetFormatPr defaultColWidth="8.7109375" defaultRowHeight="15" x14ac:dyDescent="0.25"/>
  <cols>
    <col min="1" max="1" width="22" customWidth="1"/>
    <col min="2" max="2" width="16" customWidth="1"/>
    <col min="3" max="3" width="20" customWidth="1"/>
    <col min="4" max="4" width="18" customWidth="1"/>
    <col min="5" max="5" width="22" customWidth="1"/>
  </cols>
  <sheetData>
    <row r="1" spans="1:10" ht="18" x14ac:dyDescent="0.25">
      <c r="A1" s="86" t="s">
        <v>247</v>
      </c>
      <c r="B1" s="86"/>
      <c r="C1" s="86"/>
      <c r="D1" s="86"/>
      <c r="E1" s="86"/>
      <c r="F1" s="86"/>
      <c r="G1" s="86"/>
      <c r="H1" s="86"/>
      <c r="I1" s="86"/>
      <c r="J1" s="86"/>
    </row>
    <row r="3" spans="1:10" ht="15.75" x14ac:dyDescent="0.25">
      <c r="A3" s="97" t="s">
        <v>248</v>
      </c>
      <c r="B3" s="97"/>
      <c r="C3" s="97"/>
      <c r="D3" s="97"/>
      <c r="E3" s="97"/>
    </row>
    <row r="4" spans="1:10" x14ac:dyDescent="0.25">
      <c r="A4" s="6" t="s">
        <v>137</v>
      </c>
      <c r="B4" s="6" t="s">
        <v>138</v>
      </c>
      <c r="C4" s="6" t="s">
        <v>139</v>
      </c>
      <c r="D4" s="6"/>
      <c r="E4" s="6"/>
    </row>
    <row r="5" spans="1:10" ht="38.25" x14ac:dyDescent="0.25">
      <c r="A5" s="7" t="s">
        <v>249</v>
      </c>
      <c r="B5" s="8" t="s">
        <v>250</v>
      </c>
      <c r="C5" s="8" t="s">
        <v>251</v>
      </c>
      <c r="D5" s="8"/>
      <c r="E5" s="8"/>
    </row>
    <row r="6" spans="1:10" ht="25.5" x14ac:dyDescent="0.25">
      <c r="A6" s="9" t="s">
        <v>142</v>
      </c>
      <c r="B6" s="10" t="s">
        <v>252</v>
      </c>
      <c r="C6" s="10" t="s">
        <v>253</v>
      </c>
      <c r="D6" s="10"/>
      <c r="E6" s="10"/>
    </row>
    <row r="7" spans="1:10" ht="38.25" x14ac:dyDescent="0.25">
      <c r="A7" s="7" t="s">
        <v>254</v>
      </c>
      <c r="B7" s="8" t="s">
        <v>255</v>
      </c>
      <c r="C7" s="8" t="s">
        <v>256</v>
      </c>
      <c r="D7" s="8"/>
      <c r="E7" s="8"/>
    </row>
    <row r="9" spans="1:10" ht="15.75" x14ac:dyDescent="0.25">
      <c r="A9" s="97" t="s">
        <v>257</v>
      </c>
      <c r="B9" s="97"/>
      <c r="C9" s="97"/>
      <c r="D9" s="97"/>
      <c r="E9" s="97"/>
    </row>
    <row r="10" spans="1:10" x14ac:dyDescent="0.25">
      <c r="A10" s="6" t="s">
        <v>258</v>
      </c>
      <c r="B10" s="6" t="s">
        <v>80</v>
      </c>
      <c r="C10" s="6" t="s">
        <v>279</v>
      </c>
      <c r="D10" s="6" t="s">
        <v>106</v>
      </c>
      <c r="E10" s="6"/>
    </row>
    <row r="11" spans="1:10" x14ac:dyDescent="0.25">
      <c r="A11" s="7" t="s">
        <v>259</v>
      </c>
      <c r="B11" s="8">
        <v>3326</v>
      </c>
      <c r="C11" s="8">
        <v>3.9</v>
      </c>
      <c r="D11" s="8">
        <v>2.2799999999999998</v>
      </c>
      <c r="E11" s="8"/>
    </row>
    <row r="12" spans="1:10" x14ac:dyDescent="0.25">
      <c r="A12" s="9" t="s">
        <v>260</v>
      </c>
      <c r="B12" s="10">
        <v>13574</v>
      </c>
      <c r="C12" s="10">
        <v>8.3000000000000007</v>
      </c>
      <c r="D12" s="10">
        <v>3.02</v>
      </c>
      <c r="E12" s="10"/>
    </row>
    <row r="13" spans="1:10" x14ac:dyDescent="0.25">
      <c r="A13" s="7" t="s">
        <v>261</v>
      </c>
      <c r="B13" s="8">
        <v>19078</v>
      </c>
      <c r="C13" s="8">
        <v>13</v>
      </c>
      <c r="D13" s="8">
        <v>3.84</v>
      </c>
      <c r="E13" s="8"/>
    </row>
    <row r="14" spans="1:10" x14ac:dyDescent="0.25">
      <c r="A14" s="9" t="s">
        <v>262</v>
      </c>
      <c r="B14" s="10">
        <v>15054</v>
      </c>
      <c r="C14" s="10">
        <v>17.8</v>
      </c>
      <c r="D14" s="10">
        <v>4.7</v>
      </c>
      <c r="E14" s="10"/>
    </row>
    <row r="15" spans="1:10" x14ac:dyDescent="0.25">
      <c r="A15" s="7" t="s">
        <v>263</v>
      </c>
      <c r="B15" s="8">
        <v>12128</v>
      </c>
      <c r="C15" s="8">
        <v>24.3</v>
      </c>
      <c r="D15" s="8">
        <v>6</v>
      </c>
      <c r="E15" s="8"/>
    </row>
    <row r="16" spans="1:10" x14ac:dyDescent="0.25">
      <c r="A16" s="9" t="s">
        <v>264</v>
      </c>
      <c r="B16" s="10">
        <v>3427</v>
      </c>
      <c r="C16" s="10">
        <v>38</v>
      </c>
      <c r="D16" s="10">
        <v>8.02</v>
      </c>
      <c r="E16" s="10"/>
    </row>
    <row r="18" spans="1:5" ht="39.75" customHeight="1" x14ac:dyDescent="0.25">
      <c r="A18" s="90" t="s">
        <v>278</v>
      </c>
      <c r="B18" s="90"/>
      <c r="C18" s="90"/>
      <c r="D18" s="90"/>
      <c r="E18" s="90"/>
    </row>
  </sheetData>
  <mergeCells count="4">
    <mergeCell ref="A1:J1"/>
    <mergeCell ref="A3:E3"/>
    <mergeCell ref="A9:E9"/>
    <mergeCell ref="A18:E1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43664-C709-441B-B0D6-3DCA94273EB6}">
  <dimension ref="A1:J16"/>
  <sheetViews>
    <sheetView workbookViewId="0">
      <selection activeCell="D10" sqref="D10"/>
    </sheetView>
  </sheetViews>
  <sheetFormatPr defaultColWidth="8.7109375" defaultRowHeight="15" x14ac:dyDescent="0.25"/>
  <cols>
    <col min="1" max="1" width="24" customWidth="1"/>
    <col min="2" max="2" width="16" customWidth="1"/>
    <col min="3" max="3" width="14" customWidth="1"/>
    <col min="4" max="4" width="16" customWidth="1"/>
    <col min="5" max="5" width="22" customWidth="1"/>
  </cols>
  <sheetData>
    <row r="1" spans="1:10" ht="18" x14ac:dyDescent="0.25">
      <c r="A1" s="86" t="s">
        <v>265</v>
      </c>
      <c r="B1" s="86"/>
      <c r="C1" s="86"/>
      <c r="D1" s="86"/>
      <c r="E1" s="86"/>
      <c r="F1" s="86"/>
      <c r="G1" s="86"/>
      <c r="H1" s="86"/>
      <c r="I1" s="86"/>
      <c r="J1" s="86"/>
    </row>
    <row r="3" spans="1:10" ht="15.75" x14ac:dyDescent="0.25">
      <c r="A3" s="97" t="s">
        <v>266</v>
      </c>
      <c r="B3" s="97"/>
      <c r="C3" s="97"/>
      <c r="D3" s="97"/>
      <c r="E3" s="97"/>
    </row>
    <row r="4" spans="1:10" x14ac:dyDescent="0.25">
      <c r="A4" s="6" t="s">
        <v>137</v>
      </c>
      <c r="B4" s="6" t="s">
        <v>138</v>
      </c>
      <c r="C4" s="6" t="s">
        <v>139</v>
      </c>
      <c r="D4" s="6"/>
      <c r="E4" s="6"/>
    </row>
    <row r="5" spans="1:10" ht="51" x14ac:dyDescent="0.25">
      <c r="A5" s="7" t="s">
        <v>140</v>
      </c>
      <c r="B5" s="8" t="s">
        <v>267</v>
      </c>
      <c r="C5" s="8" t="s">
        <v>277</v>
      </c>
      <c r="D5" s="8"/>
      <c r="E5" s="8"/>
    </row>
    <row r="6" spans="1:10" ht="38.25" x14ac:dyDescent="0.25">
      <c r="A6" s="9" t="s">
        <v>142</v>
      </c>
      <c r="B6" s="10" t="s">
        <v>268</v>
      </c>
      <c r="C6" s="10" t="s">
        <v>144</v>
      </c>
      <c r="D6" s="10"/>
      <c r="E6" s="10"/>
    </row>
    <row r="8" spans="1:10" ht="15.75" x14ac:dyDescent="0.25">
      <c r="A8" s="97" t="s">
        <v>269</v>
      </c>
      <c r="B8" s="97"/>
      <c r="C8" s="97"/>
      <c r="D8" s="97"/>
      <c r="E8" s="97"/>
    </row>
    <row r="9" spans="1:10" x14ac:dyDescent="0.25">
      <c r="A9" s="6" t="s">
        <v>270</v>
      </c>
      <c r="B9" s="6" t="s">
        <v>80</v>
      </c>
      <c r="C9" s="6" t="s">
        <v>81</v>
      </c>
      <c r="D9" s="6" t="s">
        <v>82</v>
      </c>
      <c r="E9" s="6" t="s">
        <v>83</v>
      </c>
    </row>
    <row r="10" spans="1:10" x14ac:dyDescent="0.25">
      <c r="A10" s="9" t="s">
        <v>148</v>
      </c>
      <c r="B10" s="10">
        <v>55578</v>
      </c>
      <c r="C10" s="10">
        <v>24331</v>
      </c>
      <c r="D10" s="10">
        <v>31247</v>
      </c>
      <c r="E10" s="11" t="s">
        <v>271</v>
      </c>
    </row>
    <row r="11" spans="1:10" x14ac:dyDescent="0.25">
      <c r="A11" s="7" t="s">
        <v>150</v>
      </c>
      <c r="B11" s="8">
        <v>5622</v>
      </c>
      <c r="C11" s="8">
        <v>3247</v>
      </c>
      <c r="D11" s="8">
        <v>2375</v>
      </c>
      <c r="E11" s="12" t="s">
        <v>272</v>
      </c>
    </row>
    <row r="12" spans="1:10" x14ac:dyDescent="0.25">
      <c r="A12" s="9" t="s">
        <v>152</v>
      </c>
      <c r="B12" s="10">
        <v>2394</v>
      </c>
      <c r="C12" s="10">
        <v>1435</v>
      </c>
      <c r="D12" s="10">
        <v>959</v>
      </c>
      <c r="E12" s="11" t="s">
        <v>273</v>
      </c>
    </row>
    <row r="13" spans="1:10" x14ac:dyDescent="0.25">
      <c r="A13" s="7" t="s">
        <v>154</v>
      </c>
      <c r="B13" s="8">
        <v>2405</v>
      </c>
      <c r="C13" s="8">
        <v>1368</v>
      </c>
      <c r="D13" s="8">
        <v>1037</v>
      </c>
      <c r="E13" s="12" t="s">
        <v>274</v>
      </c>
    </row>
    <row r="14" spans="1:10" x14ac:dyDescent="0.25">
      <c r="A14" s="9" t="s">
        <v>156</v>
      </c>
      <c r="B14" s="10">
        <v>588</v>
      </c>
      <c r="C14" s="10">
        <v>383</v>
      </c>
      <c r="D14" s="10">
        <v>205</v>
      </c>
      <c r="E14" s="11" t="s">
        <v>275</v>
      </c>
    </row>
    <row r="16" spans="1:10" ht="39.75" customHeight="1" x14ac:dyDescent="0.25">
      <c r="A16" s="90" t="s">
        <v>276</v>
      </c>
      <c r="B16" s="90"/>
      <c r="C16" s="90"/>
      <c r="D16" s="90"/>
      <c r="E16" s="90"/>
    </row>
  </sheetData>
  <mergeCells count="4">
    <mergeCell ref="A1:J1"/>
    <mergeCell ref="A3:E3"/>
    <mergeCell ref="A8:E8"/>
    <mergeCell ref="A16:E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324D-21D8-457D-8430-B483EF3F0A8E}">
  <dimension ref="A1:H17"/>
  <sheetViews>
    <sheetView workbookViewId="0">
      <selection activeCell="A4" sqref="A4:H4"/>
    </sheetView>
  </sheetViews>
  <sheetFormatPr defaultColWidth="8.7109375" defaultRowHeight="15" x14ac:dyDescent="0.25"/>
  <cols>
    <col min="1" max="1" width="5" customWidth="1"/>
    <col min="2" max="2" width="7" customWidth="1"/>
    <col min="3" max="3" width="40" customWidth="1"/>
    <col min="4" max="4" width="24" customWidth="1"/>
    <col min="5" max="5" width="48" customWidth="1"/>
    <col min="6" max="6" width="16" customWidth="1"/>
  </cols>
  <sheetData>
    <row r="1" spans="1:8" ht="30" customHeight="1" x14ac:dyDescent="0.25">
      <c r="A1" s="100" t="s">
        <v>298</v>
      </c>
      <c r="B1" s="100"/>
      <c r="C1" s="100"/>
      <c r="D1" s="100"/>
      <c r="E1" s="100"/>
      <c r="F1" s="100"/>
      <c r="G1" s="100"/>
      <c r="H1" s="100"/>
    </row>
    <row r="2" spans="1:8" ht="30" customHeight="1" x14ac:dyDescent="0.25">
      <c r="A2" s="100"/>
      <c r="B2" s="100"/>
      <c r="C2" s="100"/>
      <c r="D2" s="100"/>
      <c r="E2" s="100"/>
      <c r="F2" s="100"/>
      <c r="G2" s="100"/>
      <c r="H2" s="100"/>
    </row>
    <row r="3" spans="1:8" ht="30" customHeight="1" x14ac:dyDescent="0.25">
      <c r="A3" s="100"/>
      <c r="B3" s="100"/>
      <c r="C3" s="100"/>
      <c r="D3" s="100"/>
      <c r="E3" s="100"/>
      <c r="F3" s="100"/>
      <c r="G3" s="100"/>
      <c r="H3" s="100"/>
    </row>
    <row r="4" spans="1:8" ht="21.75" customHeight="1" x14ac:dyDescent="0.25">
      <c r="A4" s="101" t="s">
        <v>350</v>
      </c>
      <c r="B4" s="101"/>
      <c r="C4" s="101"/>
      <c r="D4" s="101"/>
      <c r="E4" s="101"/>
      <c r="F4" s="101"/>
      <c r="G4" s="101"/>
      <c r="H4" s="101"/>
    </row>
    <row r="6" spans="1:8" ht="15" customHeight="1" x14ac:dyDescent="0.25">
      <c r="A6" s="89" t="s">
        <v>299</v>
      </c>
      <c r="B6" s="89"/>
      <c r="C6" s="89"/>
      <c r="D6" s="89"/>
      <c r="E6" s="89"/>
      <c r="F6" s="89"/>
      <c r="G6" s="89"/>
    </row>
    <row r="7" spans="1:8" ht="25.5" x14ac:dyDescent="0.25">
      <c r="A7" s="1" t="s">
        <v>15</v>
      </c>
      <c r="B7" s="1" t="s">
        <v>16</v>
      </c>
      <c r="C7" s="1" t="s">
        <v>300</v>
      </c>
      <c r="D7" s="1" t="s">
        <v>19</v>
      </c>
      <c r="E7" s="1" t="s">
        <v>20</v>
      </c>
    </row>
    <row r="8" spans="1:8" ht="38.25" x14ac:dyDescent="0.25">
      <c r="A8" s="2">
        <v>1</v>
      </c>
      <c r="B8" s="3" t="s">
        <v>301</v>
      </c>
      <c r="C8" s="3" t="s">
        <v>302</v>
      </c>
      <c r="D8" s="3" t="s">
        <v>303</v>
      </c>
      <c r="E8" s="3" t="s">
        <v>304</v>
      </c>
      <c r="F8" s="3" t="s">
        <v>305</v>
      </c>
    </row>
    <row r="9" spans="1:8" ht="25.5" x14ac:dyDescent="0.25">
      <c r="A9" s="4">
        <v>2</v>
      </c>
      <c r="B9" s="5" t="s">
        <v>306</v>
      </c>
      <c r="C9" s="5" t="s">
        <v>307</v>
      </c>
      <c r="D9" s="5" t="s">
        <v>308</v>
      </c>
      <c r="E9" s="5" t="s">
        <v>309</v>
      </c>
      <c r="F9" s="5" t="s">
        <v>310</v>
      </c>
    </row>
    <row r="10" spans="1:8" ht="38.25" x14ac:dyDescent="0.25">
      <c r="A10" s="2">
        <v>3</v>
      </c>
      <c r="B10" s="3" t="s">
        <v>311</v>
      </c>
      <c r="C10" s="3" t="s">
        <v>312</v>
      </c>
      <c r="D10" s="3" t="s">
        <v>313</v>
      </c>
      <c r="E10" s="3" t="s">
        <v>314</v>
      </c>
      <c r="F10" s="3" t="s">
        <v>315</v>
      </c>
    </row>
    <row r="11" spans="1:8" ht="38.25" x14ac:dyDescent="0.25">
      <c r="A11" s="4">
        <v>4</v>
      </c>
      <c r="B11" s="5" t="s">
        <v>316</v>
      </c>
      <c r="C11" s="5" t="s">
        <v>317</v>
      </c>
      <c r="D11" s="5" t="s">
        <v>318</v>
      </c>
      <c r="E11" s="5" t="s">
        <v>319</v>
      </c>
      <c r="F11" s="5" t="s">
        <v>320</v>
      </c>
    </row>
    <row r="12" spans="1:8" ht="38.25" x14ac:dyDescent="0.25">
      <c r="A12" s="2">
        <v>5</v>
      </c>
      <c r="B12" s="3" t="s">
        <v>321</v>
      </c>
      <c r="C12" s="3" t="s">
        <v>322</v>
      </c>
      <c r="D12" s="3" t="s">
        <v>323</v>
      </c>
      <c r="E12" s="3" t="s">
        <v>324</v>
      </c>
      <c r="F12" s="3" t="s">
        <v>325</v>
      </c>
    </row>
    <row r="13" spans="1:8" ht="38.25" x14ac:dyDescent="0.25">
      <c r="A13" s="4">
        <v>6</v>
      </c>
      <c r="B13" s="5" t="s">
        <v>326</v>
      </c>
      <c r="C13" s="5" t="s">
        <v>327</v>
      </c>
      <c r="D13" s="5" t="s">
        <v>328</v>
      </c>
      <c r="E13" s="5" t="s">
        <v>329</v>
      </c>
      <c r="F13" s="5" t="s">
        <v>330</v>
      </c>
    </row>
    <row r="14" spans="1:8" ht="38.25" x14ac:dyDescent="0.25">
      <c r="A14" s="2">
        <v>7</v>
      </c>
      <c r="B14" s="3" t="s">
        <v>331</v>
      </c>
      <c r="C14" s="3" t="s">
        <v>332</v>
      </c>
      <c r="D14" s="3" t="s">
        <v>318</v>
      </c>
      <c r="E14" s="3" t="s">
        <v>333</v>
      </c>
      <c r="F14" s="3" t="s">
        <v>334</v>
      </c>
    </row>
    <row r="15" spans="1:8" ht="25.5" x14ac:dyDescent="0.25">
      <c r="A15" s="4">
        <v>8</v>
      </c>
      <c r="B15" s="5" t="s">
        <v>335</v>
      </c>
      <c r="C15" s="5" t="s">
        <v>336</v>
      </c>
      <c r="D15" s="5" t="s">
        <v>337</v>
      </c>
      <c r="E15" s="5" t="s">
        <v>338</v>
      </c>
      <c r="F15" s="5" t="s">
        <v>339</v>
      </c>
    </row>
    <row r="16" spans="1:8" ht="38.25" x14ac:dyDescent="0.25">
      <c r="A16" s="2">
        <v>9</v>
      </c>
      <c r="B16" s="3" t="s">
        <v>340</v>
      </c>
      <c r="C16" s="3" t="s">
        <v>341</v>
      </c>
      <c r="D16" s="3" t="s">
        <v>342</v>
      </c>
      <c r="E16" s="3" t="s">
        <v>343</v>
      </c>
      <c r="F16" s="3" t="s">
        <v>344</v>
      </c>
    </row>
    <row r="17" spans="1:6" ht="38.25" x14ac:dyDescent="0.25">
      <c r="A17" s="4">
        <v>10</v>
      </c>
      <c r="B17" s="5" t="s">
        <v>345</v>
      </c>
      <c r="C17" s="5" t="s">
        <v>346</v>
      </c>
      <c r="D17" s="5" t="s">
        <v>347</v>
      </c>
      <c r="E17" s="5" t="s">
        <v>348</v>
      </c>
      <c r="F17" s="5" t="s">
        <v>349</v>
      </c>
    </row>
  </sheetData>
  <mergeCells count="3">
    <mergeCell ref="A1:H3"/>
    <mergeCell ref="A4:H4"/>
    <mergeCell ref="A6:G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827EC-3E68-4F63-83D6-888D6B6D15D9}">
  <dimension ref="A1:J17"/>
  <sheetViews>
    <sheetView workbookViewId="0">
      <selection activeCell="G11" sqref="G11"/>
    </sheetView>
  </sheetViews>
  <sheetFormatPr defaultColWidth="8.7109375" defaultRowHeight="15" x14ac:dyDescent="0.25"/>
  <cols>
    <col min="1" max="1" width="26" customWidth="1"/>
    <col min="2" max="4" width="16" customWidth="1"/>
    <col min="5" max="5" width="14" customWidth="1"/>
    <col min="6" max="6" width="22" customWidth="1"/>
  </cols>
  <sheetData>
    <row r="1" spans="1:10" ht="18" x14ac:dyDescent="0.25">
      <c r="A1" s="86" t="s">
        <v>352</v>
      </c>
      <c r="B1" s="86"/>
      <c r="C1" s="86"/>
      <c r="D1" s="86"/>
      <c r="E1" s="86"/>
      <c r="F1" s="86"/>
      <c r="G1" s="86"/>
      <c r="H1" s="86"/>
      <c r="I1" s="86"/>
      <c r="J1" s="86"/>
    </row>
    <row r="2" spans="1:10" ht="19.5" customHeight="1" x14ac:dyDescent="0.25">
      <c r="A2" s="87" t="s">
        <v>353</v>
      </c>
      <c r="B2" s="87"/>
      <c r="C2" s="87"/>
      <c r="D2" s="87"/>
      <c r="E2" s="87"/>
      <c r="F2" s="87"/>
      <c r="G2" s="87"/>
      <c r="H2" s="87"/>
      <c r="I2" s="87"/>
      <c r="J2" s="87"/>
    </row>
    <row r="4" spans="1:10" ht="15" customHeight="1" x14ac:dyDescent="0.25">
      <c r="A4" s="89" t="s">
        <v>354</v>
      </c>
      <c r="B4" s="89"/>
      <c r="C4" s="89"/>
      <c r="D4" s="89"/>
      <c r="E4" s="89"/>
      <c r="F4" s="89"/>
    </row>
    <row r="5" spans="1:10" x14ac:dyDescent="0.25">
      <c r="A5" s="6" t="s">
        <v>137</v>
      </c>
      <c r="B5" s="6" t="s">
        <v>138</v>
      </c>
      <c r="C5" s="6" t="s">
        <v>355</v>
      </c>
      <c r="D5" s="6" t="s">
        <v>142</v>
      </c>
      <c r="E5" s="6" t="s">
        <v>168</v>
      </c>
      <c r="F5" s="6"/>
    </row>
    <row r="6" spans="1:10" ht="25.5" x14ac:dyDescent="0.25">
      <c r="A6" s="7" t="s">
        <v>356</v>
      </c>
      <c r="B6" s="8" t="s">
        <v>357</v>
      </c>
      <c r="C6" s="8" t="s">
        <v>358</v>
      </c>
      <c r="D6" s="8" t="s">
        <v>252</v>
      </c>
      <c r="E6" s="8" t="s">
        <v>359</v>
      </c>
      <c r="F6" s="8"/>
    </row>
    <row r="7" spans="1:10" ht="25.5" x14ac:dyDescent="0.25">
      <c r="A7" s="9" t="s">
        <v>360</v>
      </c>
      <c r="B7" s="10" t="s">
        <v>361</v>
      </c>
      <c r="C7" s="10" t="s">
        <v>362</v>
      </c>
      <c r="D7" s="10" t="s">
        <v>363</v>
      </c>
      <c r="E7" s="10" t="s">
        <v>359</v>
      </c>
      <c r="F7" s="10"/>
    </row>
    <row r="9" spans="1:10" ht="15" customHeight="1" x14ac:dyDescent="0.25">
      <c r="A9" s="89" t="s">
        <v>364</v>
      </c>
      <c r="B9" s="89"/>
      <c r="C9" s="89"/>
      <c r="D9" s="89"/>
      <c r="E9" s="89"/>
      <c r="F9" s="89"/>
    </row>
    <row r="10" spans="1:10" x14ac:dyDescent="0.25">
      <c r="A10" s="6" t="s">
        <v>365</v>
      </c>
      <c r="B10" s="6" t="s">
        <v>80</v>
      </c>
      <c r="C10" s="6" t="s">
        <v>366</v>
      </c>
      <c r="D10" s="6" t="s">
        <v>106</v>
      </c>
      <c r="E10" s="6" t="s">
        <v>81</v>
      </c>
      <c r="F10" s="6" t="s">
        <v>83</v>
      </c>
    </row>
    <row r="11" spans="1:10" x14ac:dyDescent="0.25">
      <c r="A11" s="7" t="s">
        <v>367</v>
      </c>
      <c r="B11" s="8">
        <v>2664</v>
      </c>
      <c r="C11" s="8">
        <v>2.6</v>
      </c>
      <c r="D11" s="8">
        <v>2.76</v>
      </c>
      <c r="E11" s="8">
        <v>907</v>
      </c>
      <c r="F11" s="8" t="s">
        <v>368</v>
      </c>
    </row>
    <row r="12" spans="1:10" x14ac:dyDescent="0.25">
      <c r="A12" s="9" t="s">
        <v>369</v>
      </c>
      <c r="B12" s="10">
        <v>17734</v>
      </c>
      <c r="C12" s="10">
        <v>5.2</v>
      </c>
      <c r="D12" s="10">
        <v>3.72</v>
      </c>
      <c r="E12" s="10">
        <v>7034</v>
      </c>
      <c r="F12" s="10" t="s">
        <v>370</v>
      </c>
    </row>
    <row r="13" spans="1:10" x14ac:dyDescent="0.25">
      <c r="A13" s="7" t="s">
        <v>371</v>
      </c>
      <c r="B13" s="8">
        <v>46112</v>
      </c>
      <c r="C13" s="8">
        <v>8.6</v>
      </c>
      <c r="D13" s="8">
        <v>4.75</v>
      </c>
      <c r="E13" s="8">
        <v>22785</v>
      </c>
      <c r="F13" s="8" t="s">
        <v>372</v>
      </c>
    </row>
    <row r="14" spans="1:10" x14ac:dyDescent="0.25">
      <c r="A14" s="9" t="s">
        <v>373</v>
      </c>
      <c r="B14" s="10">
        <v>27</v>
      </c>
      <c r="C14" s="10">
        <v>10.6</v>
      </c>
      <c r="D14" s="10">
        <v>4.4400000000000004</v>
      </c>
      <c r="E14" s="10">
        <v>13</v>
      </c>
      <c r="F14" s="10" t="s">
        <v>374</v>
      </c>
    </row>
    <row r="15" spans="1:10" x14ac:dyDescent="0.25">
      <c r="A15" s="7" t="s">
        <v>375</v>
      </c>
      <c r="B15" s="8">
        <v>50</v>
      </c>
      <c r="C15" s="8">
        <v>14.9</v>
      </c>
      <c r="D15" s="8">
        <v>6.44</v>
      </c>
      <c r="E15" s="8">
        <v>25</v>
      </c>
      <c r="F15" s="8" t="s">
        <v>376</v>
      </c>
    </row>
    <row r="17" spans="1:6" ht="54.75" customHeight="1" x14ac:dyDescent="0.25">
      <c r="A17" s="90" t="s">
        <v>377</v>
      </c>
      <c r="B17" s="90"/>
      <c r="C17" s="90"/>
      <c r="D17" s="90"/>
      <c r="E17" s="90"/>
      <c r="F17" s="90"/>
    </row>
  </sheetData>
  <mergeCells count="5">
    <mergeCell ref="A1:J1"/>
    <mergeCell ref="A2:J2"/>
    <mergeCell ref="A4:F4"/>
    <mergeCell ref="A9:F9"/>
    <mergeCell ref="A17:F1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0E0B-0901-4545-B27E-80E686FB6690}">
  <dimension ref="A1:J16"/>
  <sheetViews>
    <sheetView topLeftCell="A8" workbookViewId="0">
      <selection activeCell="A16" sqref="A16:G16"/>
    </sheetView>
  </sheetViews>
  <sheetFormatPr defaultColWidth="8.7109375" defaultRowHeight="15" x14ac:dyDescent="0.25"/>
  <cols>
    <col min="1" max="1" width="24" customWidth="1"/>
    <col min="2" max="2" width="16" customWidth="1"/>
    <col min="3" max="3" width="14" customWidth="1"/>
    <col min="4" max="4" width="16" customWidth="1"/>
    <col min="5" max="5" width="22" customWidth="1"/>
    <col min="6" max="6" width="16" customWidth="1"/>
    <col min="7" max="7" width="18" customWidth="1"/>
  </cols>
  <sheetData>
    <row r="1" spans="1:10" ht="18" x14ac:dyDescent="0.25">
      <c r="A1" s="86" t="s">
        <v>378</v>
      </c>
      <c r="B1" s="86"/>
      <c r="C1" s="86"/>
      <c r="D1" s="86"/>
      <c r="E1" s="86"/>
      <c r="F1" s="86"/>
      <c r="G1" s="86"/>
      <c r="H1" s="86"/>
      <c r="I1" s="86"/>
      <c r="J1" s="86"/>
    </row>
    <row r="2" spans="1:10" ht="19.5" customHeight="1" x14ac:dyDescent="0.25">
      <c r="A2" s="87" t="s">
        <v>610</v>
      </c>
      <c r="B2" s="87"/>
      <c r="C2" s="87"/>
      <c r="D2" s="87"/>
      <c r="E2" s="87"/>
      <c r="F2" s="87"/>
      <c r="G2" s="87"/>
      <c r="H2" s="87"/>
      <c r="I2" s="87"/>
      <c r="J2" s="87"/>
    </row>
    <row r="4" spans="1:10" ht="15" customHeight="1" x14ac:dyDescent="0.25">
      <c r="A4" s="89" t="s">
        <v>379</v>
      </c>
      <c r="B4" s="89"/>
      <c r="C4" s="89"/>
      <c r="D4" s="89"/>
      <c r="E4" s="89"/>
    </row>
    <row r="5" spans="1:10" x14ac:dyDescent="0.25">
      <c r="A5" s="6" t="s">
        <v>137</v>
      </c>
      <c r="B5" s="6" t="s">
        <v>138</v>
      </c>
      <c r="C5" s="6" t="s">
        <v>355</v>
      </c>
      <c r="D5" s="6" t="s">
        <v>142</v>
      </c>
      <c r="E5" s="6" t="s">
        <v>168</v>
      </c>
    </row>
    <row r="6" spans="1:10" ht="25.5" x14ac:dyDescent="0.25">
      <c r="A6" s="7" t="s">
        <v>380</v>
      </c>
      <c r="B6" s="8" t="s">
        <v>381</v>
      </c>
      <c r="C6" s="8" t="s">
        <v>358</v>
      </c>
      <c r="D6" s="8" t="s">
        <v>252</v>
      </c>
      <c r="E6" s="8" t="s">
        <v>359</v>
      </c>
    </row>
    <row r="8" spans="1:10" ht="15" customHeight="1" x14ac:dyDescent="0.25">
      <c r="A8" s="89" t="s">
        <v>382</v>
      </c>
      <c r="B8" s="89"/>
      <c r="C8" s="89"/>
      <c r="D8" s="89"/>
      <c r="E8" s="89"/>
      <c r="F8" s="89"/>
      <c r="G8" s="89"/>
    </row>
    <row r="9" spans="1:10" x14ac:dyDescent="0.25">
      <c r="A9" s="6" t="s">
        <v>383</v>
      </c>
      <c r="B9" s="6" t="s">
        <v>80</v>
      </c>
      <c r="C9" s="6" t="s">
        <v>81</v>
      </c>
      <c r="D9" s="6" t="s">
        <v>82</v>
      </c>
      <c r="E9" s="6" t="s">
        <v>83</v>
      </c>
      <c r="F9" s="6" t="s">
        <v>106</v>
      </c>
      <c r="G9" s="6" t="s">
        <v>279</v>
      </c>
    </row>
    <row r="10" spans="1:10" x14ac:dyDescent="0.25">
      <c r="A10" s="7" t="s">
        <v>384</v>
      </c>
      <c r="B10" s="8">
        <v>44146</v>
      </c>
      <c r="C10" s="8">
        <v>17067</v>
      </c>
      <c r="D10" s="8">
        <v>27079</v>
      </c>
      <c r="E10" s="8" t="s">
        <v>385</v>
      </c>
      <c r="F10" s="8">
        <v>4.21</v>
      </c>
      <c r="G10" s="8">
        <v>15.6</v>
      </c>
    </row>
    <row r="11" spans="1:10" x14ac:dyDescent="0.25">
      <c r="A11" s="9" t="s">
        <v>386</v>
      </c>
      <c r="B11" s="10">
        <v>12790</v>
      </c>
      <c r="C11" s="10">
        <v>6963</v>
      </c>
      <c r="D11" s="10">
        <v>5827</v>
      </c>
      <c r="E11" s="10" t="s">
        <v>387</v>
      </c>
      <c r="F11" s="10">
        <v>4.6900000000000004</v>
      </c>
      <c r="G11" s="10">
        <v>16.399999999999999</v>
      </c>
    </row>
    <row r="12" spans="1:10" x14ac:dyDescent="0.25">
      <c r="A12" s="7" t="s">
        <v>388</v>
      </c>
      <c r="B12" s="8">
        <v>4988</v>
      </c>
      <c r="C12" s="8">
        <v>3249</v>
      </c>
      <c r="D12" s="8">
        <v>1739</v>
      </c>
      <c r="E12" s="8" t="s">
        <v>275</v>
      </c>
      <c r="F12" s="8">
        <v>4.8099999999999996</v>
      </c>
      <c r="G12" s="8">
        <v>17</v>
      </c>
    </row>
    <row r="13" spans="1:10" x14ac:dyDescent="0.25">
      <c r="A13" s="9" t="s">
        <v>389</v>
      </c>
      <c r="B13" s="10">
        <v>3882</v>
      </c>
      <c r="C13" s="10">
        <v>2815</v>
      </c>
      <c r="D13" s="10">
        <v>1067</v>
      </c>
      <c r="E13" s="10" t="s">
        <v>390</v>
      </c>
      <c r="F13" s="10">
        <v>5.05</v>
      </c>
      <c r="G13" s="10">
        <v>17.7</v>
      </c>
    </row>
    <row r="14" spans="1:10" x14ac:dyDescent="0.25">
      <c r="A14" s="7" t="s">
        <v>391</v>
      </c>
      <c r="B14" s="8">
        <v>781</v>
      </c>
      <c r="C14" s="8">
        <v>670</v>
      </c>
      <c r="D14" s="8">
        <v>111</v>
      </c>
      <c r="E14" s="8" t="s">
        <v>392</v>
      </c>
      <c r="F14" s="8">
        <v>4.71</v>
      </c>
      <c r="G14" s="8">
        <v>17.3</v>
      </c>
    </row>
    <row r="16" spans="1:10" ht="54.75" customHeight="1" x14ac:dyDescent="0.25">
      <c r="A16" s="90" t="s">
        <v>611</v>
      </c>
      <c r="B16" s="90"/>
      <c r="C16" s="90"/>
      <c r="D16" s="90"/>
      <c r="E16" s="90"/>
      <c r="F16" s="90"/>
      <c r="G16" s="90"/>
    </row>
  </sheetData>
  <mergeCells count="5">
    <mergeCell ref="A1:J1"/>
    <mergeCell ref="A2:J2"/>
    <mergeCell ref="A4:E4"/>
    <mergeCell ref="A8:G8"/>
    <mergeCell ref="A16:G1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3985-5364-47E7-B02D-6A1BDF16D47D}">
  <dimension ref="A1:J36"/>
  <sheetViews>
    <sheetView topLeftCell="A25" workbookViewId="0">
      <selection activeCell="A37" sqref="A37"/>
    </sheetView>
  </sheetViews>
  <sheetFormatPr defaultColWidth="8.7109375" defaultRowHeight="15" x14ac:dyDescent="0.25"/>
  <cols>
    <col min="1" max="1" width="22" customWidth="1"/>
    <col min="2" max="2" width="16" customWidth="1"/>
    <col min="3" max="3" width="20" customWidth="1"/>
    <col min="4" max="5" width="18" customWidth="1"/>
  </cols>
  <sheetData>
    <row r="1" spans="1:10" ht="30" customHeight="1" x14ac:dyDescent="0.25">
      <c r="A1" s="86" t="s">
        <v>393</v>
      </c>
      <c r="B1" s="86"/>
      <c r="C1" s="86"/>
      <c r="D1" s="86"/>
      <c r="E1" s="86"/>
      <c r="F1" s="86"/>
      <c r="G1" s="86"/>
      <c r="H1" s="86"/>
      <c r="I1" s="86"/>
      <c r="J1" s="86"/>
    </row>
    <row r="2" spans="1:10" ht="19.5" customHeight="1" x14ac:dyDescent="0.25">
      <c r="A2" s="87" t="s">
        <v>394</v>
      </c>
      <c r="B2" s="87"/>
      <c r="C2" s="87"/>
      <c r="D2" s="87"/>
      <c r="E2" s="87"/>
      <c r="F2" s="87"/>
      <c r="G2" s="87"/>
      <c r="H2" s="87"/>
      <c r="I2" s="87"/>
      <c r="J2" s="87"/>
    </row>
    <row r="4" spans="1:10" ht="15" customHeight="1" x14ac:dyDescent="0.25">
      <c r="A4" s="89" t="s">
        <v>395</v>
      </c>
      <c r="B4" s="89"/>
      <c r="C4" s="89"/>
      <c r="D4" s="89"/>
      <c r="E4" s="89"/>
      <c r="F4" s="89"/>
    </row>
    <row r="5" spans="1:10" x14ac:dyDescent="0.25">
      <c r="A5" s="6" t="s">
        <v>396</v>
      </c>
      <c r="B5" s="6" t="s">
        <v>397</v>
      </c>
      <c r="C5" s="6" t="s">
        <v>142</v>
      </c>
      <c r="D5" s="6" t="s">
        <v>168</v>
      </c>
      <c r="E5" s="6" t="s">
        <v>398</v>
      </c>
      <c r="F5" s="6"/>
    </row>
    <row r="6" spans="1:10" ht="38.25" x14ac:dyDescent="0.25">
      <c r="A6" s="7" t="s">
        <v>399</v>
      </c>
      <c r="B6" s="8" t="s">
        <v>400</v>
      </c>
      <c r="C6" s="8" t="s">
        <v>401</v>
      </c>
      <c r="D6" s="8" t="s">
        <v>359</v>
      </c>
      <c r="E6" s="8" t="s">
        <v>402</v>
      </c>
      <c r="F6" s="8"/>
    </row>
    <row r="7" spans="1:10" ht="38.25" x14ac:dyDescent="0.25">
      <c r="A7" s="9" t="s">
        <v>403</v>
      </c>
      <c r="B7" s="10" t="s">
        <v>404</v>
      </c>
      <c r="C7" s="10" t="s">
        <v>401</v>
      </c>
      <c r="D7" s="10" t="s">
        <v>359</v>
      </c>
      <c r="E7" s="10" t="s">
        <v>405</v>
      </c>
      <c r="F7" s="10"/>
    </row>
    <row r="9" spans="1:10" ht="15" customHeight="1" x14ac:dyDescent="0.25">
      <c r="A9" s="89" t="s">
        <v>406</v>
      </c>
      <c r="B9" s="89"/>
      <c r="C9" s="89"/>
      <c r="D9" s="89"/>
      <c r="E9" s="89"/>
    </row>
    <row r="10" spans="1:10" x14ac:dyDescent="0.25">
      <c r="A10" s="6" t="s">
        <v>196</v>
      </c>
      <c r="B10" s="6" t="s">
        <v>80</v>
      </c>
      <c r="C10" s="6" t="s">
        <v>407</v>
      </c>
      <c r="D10" s="6" t="s">
        <v>279</v>
      </c>
      <c r="E10" s="6" t="s">
        <v>408</v>
      </c>
    </row>
    <row r="11" spans="1:10" x14ac:dyDescent="0.25">
      <c r="A11" s="7" t="s">
        <v>197</v>
      </c>
      <c r="B11" s="8">
        <v>49906</v>
      </c>
      <c r="C11" s="8">
        <v>42.86</v>
      </c>
      <c r="D11" s="8">
        <v>16.28</v>
      </c>
      <c r="E11" s="8">
        <v>1.36</v>
      </c>
    </row>
    <row r="12" spans="1:10" x14ac:dyDescent="0.25">
      <c r="A12" s="9" t="s">
        <v>199</v>
      </c>
      <c r="B12" s="10">
        <v>12406</v>
      </c>
      <c r="C12" s="10">
        <v>44.11</v>
      </c>
      <c r="D12" s="10">
        <v>15.39</v>
      </c>
      <c r="E12" s="10">
        <v>1.23</v>
      </c>
    </row>
    <row r="13" spans="1:10" x14ac:dyDescent="0.25">
      <c r="A13" s="7" t="s">
        <v>203</v>
      </c>
      <c r="B13" s="8">
        <v>1050</v>
      </c>
      <c r="C13" s="8">
        <v>43.83</v>
      </c>
      <c r="D13" s="8">
        <v>15.32</v>
      </c>
      <c r="E13" s="8">
        <v>1.51</v>
      </c>
    </row>
    <row r="14" spans="1:10" x14ac:dyDescent="0.25">
      <c r="A14" s="9" t="s">
        <v>201</v>
      </c>
      <c r="B14" s="10">
        <v>1313</v>
      </c>
      <c r="C14" s="10">
        <v>41.73</v>
      </c>
      <c r="D14" s="10">
        <v>14.05</v>
      </c>
      <c r="E14" s="10">
        <v>1.08</v>
      </c>
    </row>
    <row r="15" spans="1:10" x14ac:dyDescent="0.25">
      <c r="A15" s="7" t="s">
        <v>205</v>
      </c>
      <c r="B15" s="8">
        <v>408</v>
      </c>
      <c r="C15" s="8">
        <v>41.37</v>
      </c>
      <c r="D15" s="8">
        <v>13.18</v>
      </c>
      <c r="E15" s="8">
        <v>1.32</v>
      </c>
    </row>
    <row r="18" spans="1:5" ht="15" customHeight="1" x14ac:dyDescent="0.25">
      <c r="A18" s="89" t="s">
        <v>409</v>
      </c>
      <c r="B18" s="89"/>
      <c r="C18" s="89"/>
      <c r="D18" s="89"/>
      <c r="E18" s="89"/>
    </row>
    <row r="19" spans="1:5" x14ac:dyDescent="0.25">
      <c r="A19" s="6" t="s">
        <v>79</v>
      </c>
      <c r="B19" s="6" t="s">
        <v>80</v>
      </c>
      <c r="C19" s="6" t="s">
        <v>407</v>
      </c>
      <c r="D19" s="6" t="s">
        <v>279</v>
      </c>
      <c r="E19" s="6" t="s">
        <v>408</v>
      </c>
    </row>
    <row r="20" spans="1:5" x14ac:dyDescent="0.25">
      <c r="A20" s="7" t="s">
        <v>84</v>
      </c>
      <c r="B20" s="8">
        <v>100</v>
      </c>
      <c r="C20" s="8">
        <v>39.93</v>
      </c>
      <c r="D20" s="8">
        <v>5.83</v>
      </c>
      <c r="E20" s="8">
        <v>0.17</v>
      </c>
    </row>
    <row r="21" spans="1:5" x14ac:dyDescent="0.25">
      <c r="A21" s="9" t="s">
        <v>86</v>
      </c>
      <c r="B21" s="10">
        <v>428</v>
      </c>
      <c r="C21" s="10">
        <v>45.6</v>
      </c>
      <c r="D21" s="10">
        <v>8.39</v>
      </c>
      <c r="E21" s="10">
        <v>0.3</v>
      </c>
    </row>
    <row r="22" spans="1:5" x14ac:dyDescent="0.25">
      <c r="A22" s="7" t="s">
        <v>88</v>
      </c>
      <c r="B22" s="8">
        <v>1154</v>
      </c>
      <c r="C22" s="8">
        <v>43.83</v>
      </c>
      <c r="D22" s="8">
        <v>11.79</v>
      </c>
      <c r="E22" s="8">
        <v>0.72</v>
      </c>
    </row>
    <row r="23" spans="1:5" x14ac:dyDescent="0.25">
      <c r="A23" s="9" t="s">
        <v>90</v>
      </c>
      <c r="B23" s="10">
        <v>2414</v>
      </c>
      <c r="C23" s="10">
        <v>42.56</v>
      </c>
      <c r="D23" s="10">
        <v>13.89</v>
      </c>
      <c r="E23" s="10">
        <v>1.0900000000000001</v>
      </c>
    </row>
    <row r="24" spans="1:5" x14ac:dyDescent="0.25">
      <c r="A24" s="7" t="s">
        <v>92</v>
      </c>
      <c r="B24" s="8">
        <v>6324</v>
      </c>
      <c r="C24" s="8">
        <v>42.79</v>
      </c>
      <c r="D24" s="8">
        <v>15.6</v>
      </c>
      <c r="E24" s="8">
        <v>1.4</v>
      </c>
    </row>
    <row r="25" spans="1:5" x14ac:dyDescent="0.25">
      <c r="A25" s="9" t="s">
        <v>94</v>
      </c>
      <c r="B25" s="10">
        <v>11378</v>
      </c>
      <c r="C25" s="10">
        <v>42.47</v>
      </c>
      <c r="D25" s="10">
        <v>16.55</v>
      </c>
      <c r="E25" s="10">
        <v>1.52</v>
      </c>
    </row>
    <row r="26" spans="1:5" x14ac:dyDescent="0.25">
      <c r="A26" s="7" t="s">
        <v>96</v>
      </c>
      <c r="B26" s="8">
        <v>14845</v>
      </c>
      <c r="C26" s="8">
        <v>42.73</v>
      </c>
      <c r="D26" s="8">
        <v>17.18</v>
      </c>
      <c r="E26" s="8">
        <v>1.57</v>
      </c>
    </row>
    <row r="27" spans="1:5" x14ac:dyDescent="0.25">
      <c r="A27" s="9" t="s">
        <v>97</v>
      </c>
      <c r="B27" s="10">
        <v>17031</v>
      </c>
      <c r="C27" s="10">
        <v>43.12</v>
      </c>
      <c r="D27" s="10">
        <v>16.350000000000001</v>
      </c>
      <c r="E27" s="10">
        <v>1.36</v>
      </c>
    </row>
    <row r="28" spans="1:5" x14ac:dyDescent="0.25">
      <c r="A28" s="7" t="s">
        <v>99</v>
      </c>
      <c r="B28" s="8">
        <v>11080</v>
      </c>
      <c r="C28" s="8">
        <v>44.14</v>
      </c>
      <c r="D28" s="8">
        <v>15.39</v>
      </c>
      <c r="E28" s="8">
        <v>1.02</v>
      </c>
    </row>
    <row r="29" spans="1:5" x14ac:dyDescent="0.25">
      <c r="A29" s="9" t="s">
        <v>101</v>
      </c>
      <c r="B29" s="10">
        <v>1833</v>
      </c>
      <c r="C29" s="10">
        <v>44.94</v>
      </c>
      <c r="D29" s="10">
        <v>13.64</v>
      </c>
      <c r="E29" s="10">
        <v>0.65</v>
      </c>
    </row>
    <row r="31" spans="1:5" ht="15" customHeight="1" x14ac:dyDescent="0.25">
      <c r="A31" s="89" t="s">
        <v>410</v>
      </c>
      <c r="B31" s="89"/>
      <c r="C31" s="89"/>
      <c r="D31" s="89"/>
      <c r="E31" s="89"/>
    </row>
    <row r="32" spans="1:5" x14ac:dyDescent="0.25">
      <c r="A32" s="6" t="s">
        <v>208</v>
      </c>
      <c r="B32" s="6" t="s">
        <v>80</v>
      </c>
      <c r="C32" s="6" t="s">
        <v>407</v>
      </c>
      <c r="D32" s="6" t="s">
        <v>279</v>
      </c>
      <c r="E32" s="6" t="s">
        <v>408</v>
      </c>
    </row>
    <row r="33" spans="1:5" x14ac:dyDescent="0.25">
      <c r="A33" s="7" t="s">
        <v>209</v>
      </c>
      <c r="B33" s="8">
        <v>35973</v>
      </c>
      <c r="C33" s="8">
        <v>43.25</v>
      </c>
      <c r="D33" s="8">
        <v>16.16</v>
      </c>
      <c r="E33" s="8">
        <v>1.24</v>
      </c>
    </row>
    <row r="34" spans="1:5" x14ac:dyDescent="0.25">
      <c r="A34" s="9" t="s">
        <v>211</v>
      </c>
      <c r="B34" s="10">
        <v>30612</v>
      </c>
      <c r="C34" s="10">
        <v>42.96</v>
      </c>
      <c r="D34" s="10">
        <v>15.88</v>
      </c>
      <c r="E34" s="10">
        <v>1.44</v>
      </c>
    </row>
    <row r="36" spans="1:5" ht="60" customHeight="1" x14ac:dyDescent="0.25">
      <c r="A36" s="90" t="s">
        <v>609</v>
      </c>
      <c r="B36" s="90"/>
      <c r="C36" s="90"/>
      <c r="D36" s="90"/>
      <c r="E36" s="90"/>
    </row>
  </sheetData>
  <mergeCells count="7">
    <mergeCell ref="A36:E36"/>
    <mergeCell ref="A1:J1"/>
    <mergeCell ref="A2:J2"/>
    <mergeCell ref="A4:F4"/>
    <mergeCell ref="A9:E9"/>
    <mergeCell ref="A18:E18"/>
    <mergeCell ref="A31:E3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2682-B52F-4A9A-A726-614B62E4067B}">
  <dimension ref="A1:J17"/>
  <sheetViews>
    <sheetView topLeftCell="A8" workbookViewId="0">
      <selection activeCell="C20" sqref="C20"/>
    </sheetView>
  </sheetViews>
  <sheetFormatPr defaultColWidth="8.7109375" defaultRowHeight="15" x14ac:dyDescent="0.25"/>
  <cols>
    <col min="1" max="1" width="14" customWidth="1"/>
    <col min="2" max="2" width="28" customWidth="1"/>
    <col min="3" max="3" width="16" customWidth="1"/>
    <col min="4" max="4" width="20" customWidth="1"/>
    <col min="5" max="6" width="22" customWidth="1"/>
    <col min="7" max="7" width="16" customWidth="1"/>
    <col min="8" max="8" width="22" customWidth="1"/>
  </cols>
  <sheetData>
    <row r="1" spans="1:10" ht="18" x14ac:dyDescent="0.25">
      <c r="A1" s="86" t="s">
        <v>411</v>
      </c>
      <c r="B1" s="86"/>
      <c r="C1" s="86"/>
      <c r="D1" s="86"/>
      <c r="E1" s="86"/>
      <c r="F1" s="86"/>
      <c r="G1" s="86"/>
      <c r="H1" s="86"/>
      <c r="I1" s="86"/>
      <c r="J1" s="86"/>
    </row>
    <row r="2" spans="1:10" ht="19.5" customHeight="1" x14ac:dyDescent="0.25">
      <c r="A2" s="87" t="s">
        <v>607</v>
      </c>
      <c r="B2" s="87"/>
      <c r="C2" s="87"/>
      <c r="D2" s="87"/>
      <c r="E2" s="87"/>
      <c r="F2" s="87"/>
      <c r="G2" s="87"/>
      <c r="H2" s="87"/>
      <c r="I2" s="87"/>
      <c r="J2" s="87"/>
    </row>
    <row r="4" spans="1:10" ht="15" customHeight="1" x14ac:dyDescent="0.25">
      <c r="A4" s="89" t="s">
        <v>606</v>
      </c>
      <c r="B4" s="89"/>
      <c r="C4" s="89"/>
      <c r="D4" s="89"/>
      <c r="E4" s="89"/>
      <c r="F4" s="89"/>
      <c r="G4" s="89"/>
      <c r="H4" s="89"/>
    </row>
    <row r="5" spans="1:10" ht="25.5" x14ac:dyDescent="0.25">
      <c r="A5" s="6" t="s">
        <v>412</v>
      </c>
      <c r="B5" s="6" t="s">
        <v>413</v>
      </c>
      <c r="C5" s="6" t="s">
        <v>80</v>
      </c>
      <c r="D5" s="6" t="s">
        <v>414</v>
      </c>
      <c r="E5" s="6" t="s">
        <v>415</v>
      </c>
      <c r="F5" s="6" t="s">
        <v>416</v>
      </c>
      <c r="G5" s="6" t="s">
        <v>106</v>
      </c>
      <c r="H5" s="6" t="s">
        <v>83</v>
      </c>
    </row>
    <row r="6" spans="1:10" x14ac:dyDescent="0.25">
      <c r="A6" s="7" t="s">
        <v>417</v>
      </c>
      <c r="B6" s="8" t="s">
        <v>418</v>
      </c>
      <c r="C6" s="8">
        <v>1555</v>
      </c>
      <c r="D6" s="8">
        <v>0.99</v>
      </c>
      <c r="E6" s="8">
        <v>0.51</v>
      </c>
      <c r="F6" s="8">
        <v>0.31</v>
      </c>
      <c r="G6" s="8">
        <v>4.75</v>
      </c>
      <c r="H6" s="8" t="s">
        <v>419</v>
      </c>
    </row>
    <row r="7" spans="1:10" x14ac:dyDescent="0.25">
      <c r="A7" s="9" t="s">
        <v>420</v>
      </c>
      <c r="B7" s="10" t="s">
        <v>421</v>
      </c>
      <c r="C7" s="10">
        <v>4564</v>
      </c>
      <c r="D7" s="10">
        <v>0.95</v>
      </c>
      <c r="E7" s="10">
        <v>0.44</v>
      </c>
      <c r="F7" s="10">
        <v>0.18</v>
      </c>
      <c r="G7" s="10">
        <v>4.63</v>
      </c>
      <c r="H7" s="10" t="s">
        <v>422</v>
      </c>
    </row>
    <row r="8" spans="1:10" x14ac:dyDescent="0.25">
      <c r="A8" s="7" t="s">
        <v>423</v>
      </c>
      <c r="B8" s="8" t="s">
        <v>424</v>
      </c>
      <c r="C8" s="8">
        <v>2233</v>
      </c>
      <c r="D8" s="8">
        <v>0.59</v>
      </c>
      <c r="E8" s="8">
        <v>0.42</v>
      </c>
      <c r="F8" s="8">
        <v>0.17</v>
      </c>
      <c r="G8" s="8">
        <v>5.04</v>
      </c>
      <c r="H8" s="8" t="s">
        <v>425</v>
      </c>
    </row>
    <row r="9" spans="1:10" x14ac:dyDescent="0.25">
      <c r="A9" s="9" t="s">
        <v>426</v>
      </c>
      <c r="B9" s="10" t="s">
        <v>427</v>
      </c>
      <c r="C9" s="10">
        <v>1787</v>
      </c>
      <c r="D9" s="10">
        <v>0.45</v>
      </c>
      <c r="E9" s="10">
        <v>0.4</v>
      </c>
      <c r="F9" s="10">
        <v>0.12</v>
      </c>
      <c r="G9" s="10">
        <v>3.64</v>
      </c>
      <c r="H9" s="10" t="s">
        <v>428</v>
      </c>
    </row>
    <row r="10" spans="1:10" x14ac:dyDescent="0.25">
      <c r="A10" s="7" t="s">
        <v>429</v>
      </c>
      <c r="B10" s="8" t="s">
        <v>430</v>
      </c>
      <c r="C10" s="8">
        <v>1362</v>
      </c>
      <c r="D10" s="8">
        <v>0.62</v>
      </c>
      <c r="E10" s="8">
        <v>0.35</v>
      </c>
      <c r="F10" s="8">
        <v>0.22</v>
      </c>
      <c r="G10" s="8">
        <v>3.38</v>
      </c>
      <c r="H10" s="8" t="s">
        <v>431</v>
      </c>
    </row>
    <row r="11" spans="1:10" x14ac:dyDescent="0.25">
      <c r="A11" s="9" t="s">
        <v>432</v>
      </c>
      <c r="B11" s="10" t="s">
        <v>433</v>
      </c>
      <c r="C11" s="10">
        <v>1371</v>
      </c>
      <c r="D11" s="10">
        <v>0.54</v>
      </c>
      <c r="E11" s="10">
        <v>0.39</v>
      </c>
      <c r="F11" s="10">
        <v>0.26</v>
      </c>
      <c r="G11" s="10">
        <v>4.91</v>
      </c>
      <c r="H11" s="10" t="s">
        <v>434</v>
      </c>
    </row>
    <row r="12" spans="1:10" x14ac:dyDescent="0.25">
      <c r="A12" s="7" t="s">
        <v>435</v>
      </c>
      <c r="B12" s="8" t="s">
        <v>436</v>
      </c>
      <c r="C12" s="8">
        <v>4183</v>
      </c>
      <c r="D12" s="8">
        <v>0.36</v>
      </c>
      <c r="E12" s="8">
        <v>0.21</v>
      </c>
      <c r="F12" s="8">
        <v>7.0000000000000007E-2</v>
      </c>
      <c r="G12" s="8">
        <v>3.52</v>
      </c>
      <c r="H12" s="8" t="s">
        <v>437</v>
      </c>
    </row>
    <row r="13" spans="1:10" x14ac:dyDescent="0.25">
      <c r="A13" s="9" t="s">
        <v>438</v>
      </c>
      <c r="B13" s="10" t="s">
        <v>439</v>
      </c>
      <c r="C13" s="10">
        <v>2659</v>
      </c>
      <c r="D13" s="10">
        <v>0.47</v>
      </c>
      <c r="E13" s="10">
        <v>0.27</v>
      </c>
      <c r="F13" s="10">
        <v>0.22</v>
      </c>
      <c r="G13" s="10">
        <v>2.13</v>
      </c>
      <c r="H13" s="10" t="s">
        <v>440</v>
      </c>
    </row>
    <row r="14" spans="1:10" x14ac:dyDescent="0.25">
      <c r="A14" s="7" t="s">
        <v>441</v>
      </c>
      <c r="B14" s="8" t="s">
        <v>442</v>
      </c>
      <c r="C14" s="8">
        <v>2382</v>
      </c>
      <c r="D14" s="8">
        <v>0.35</v>
      </c>
      <c r="E14" s="8">
        <v>0.25</v>
      </c>
      <c r="F14" s="8">
        <v>0.08</v>
      </c>
      <c r="G14" s="8">
        <v>4.92</v>
      </c>
      <c r="H14" s="8" t="s">
        <v>443</v>
      </c>
    </row>
    <row r="15" spans="1:10" x14ac:dyDescent="0.25">
      <c r="A15" s="9" t="s">
        <v>444</v>
      </c>
      <c r="B15" s="10" t="s">
        <v>445</v>
      </c>
      <c r="C15" s="10">
        <v>1426</v>
      </c>
      <c r="D15" s="10">
        <v>0.15</v>
      </c>
      <c r="E15" s="10">
        <v>0.44</v>
      </c>
      <c r="F15" s="10">
        <v>7.0000000000000007E-2</v>
      </c>
      <c r="G15" s="10">
        <v>3.79</v>
      </c>
      <c r="H15" s="10" t="s">
        <v>446</v>
      </c>
    </row>
    <row r="17" spans="1:8" ht="54.75" customHeight="1" x14ac:dyDescent="0.25">
      <c r="A17" s="90" t="s">
        <v>608</v>
      </c>
      <c r="B17" s="90"/>
      <c r="C17" s="90"/>
      <c r="D17" s="90"/>
      <c r="E17" s="90"/>
      <c r="F17" s="90"/>
      <c r="G17" s="90"/>
      <c r="H17" s="90"/>
    </row>
  </sheetData>
  <mergeCells count="4">
    <mergeCell ref="A1:J1"/>
    <mergeCell ref="A2:J2"/>
    <mergeCell ref="A4:H4"/>
    <mergeCell ref="A17:H1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7564-4B7E-4087-AEEF-FC343ADEF84D}">
  <dimension ref="A1:J19"/>
  <sheetViews>
    <sheetView workbookViewId="0">
      <selection activeCell="D9" sqref="D9"/>
    </sheetView>
  </sheetViews>
  <sheetFormatPr defaultColWidth="8.7109375" defaultRowHeight="15" x14ac:dyDescent="0.25"/>
  <cols>
    <col min="1" max="1" width="28" customWidth="1"/>
    <col min="2" max="2" width="12" customWidth="1"/>
    <col min="3" max="3" width="22" customWidth="1"/>
    <col min="4" max="5" width="24" customWidth="1"/>
    <col min="6" max="6" width="20" customWidth="1"/>
    <col min="7" max="7" width="22" customWidth="1"/>
  </cols>
  <sheetData>
    <row r="1" spans="1:10" ht="18" x14ac:dyDescent="0.25">
      <c r="A1" s="86" t="s">
        <v>447</v>
      </c>
      <c r="B1" s="86"/>
      <c r="C1" s="86"/>
      <c r="D1" s="86"/>
      <c r="E1" s="86"/>
      <c r="F1" s="86"/>
      <c r="G1" s="86"/>
      <c r="H1" s="86"/>
      <c r="I1" s="86"/>
      <c r="J1" s="86"/>
    </row>
    <row r="2" spans="1:10" ht="19.5" customHeight="1" x14ac:dyDescent="0.25">
      <c r="A2" s="87" t="s">
        <v>605</v>
      </c>
      <c r="B2" s="87"/>
      <c r="C2" s="87"/>
      <c r="D2" s="87"/>
      <c r="E2" s="87"/>
      <c r="F2" s="87"/>
      <c r="G2" s="87"/>
      <c r="H2" s="87"/>
      <c r="I2" s="87"/>
      <c r="J2" s="87"/>
    </row>
    <row r="4" spans="1:10" ht="15" customHeight="1" x14ac:dyDescent="0.25">
      <c r="A4" s="89" t="s">
        <v>448</v>
      </c>
      <c r="B4" s="89"/>
      <c r="C4" s="89"/>
      <c r="D4" s="89"/>
      <c r="E4" s="89"/>
      <c r="F4" s="89"/>
      <c r="G4" s="89"/>
    </row>
    <row r="5" spans="1:10" x14ac:dyDescent="0.25">
      <c r="A5" s="6" t="s">
        <v>449</v>
      </c>
      <c r="B5" s="6" t="s">
        <v>450</v>
      </c>
      <c r="C5" s="6" t="s">
        <v>451</v>
      </c>
      <c r="D5" s="6" t="s">
        <v>452</v>
      </c>
      <c r="E5" s="6" t="s">
        <v>453</v>
      </c>
      <c r="F5" s="6" t="s">
        <v>454</v>
      </c>
      <c r="G5" s="6" t="s">
        <v>83</v>
      </c>
    </row>
    <row r="6" spans="1:10" x14ac:dyDescent="0.25">
      <c r="A6" s="7" t="s">
        <v>418</v>
      </c>
      <c r="B6" s="8">
        <v>1555</v>
      </c>
      <c r="C6" s="8">
        <v>0.99</v>
      </c>
      <c r="D6" s="8">
        <v>0.51</v>
      </c>
      <c r="E6" s="8">
        <v>0.31</v>
      </c>
      <c r="F6" s="8">
        <v>1.81</v>
      </c>
      <c r="G6" s="8" t="s">
        <v>419</v>
      </c>
    </row>
    <row r="7" spans="1:10" x14ac:dyDescent="0.25">
      <c r="A7" s="9" t="s">
        <v>421</v>
      </c>
      <c r="B7" s="10">
        <v>4564</v>
      </c>
      <c r="C7" s="10">
        <v>0.95</v>
      </c>
      <c r="D7" s="10">
        <v>0.44</v>
      </c>
      <c r="E7" s="10">
        <v>0.18</v>
      </c>
      <c r="F7" s="10">
        <v>1.57</v>
      </c>
      <c r="G7" s="10" t="s">
        <v>422</v>
      </c>
    </row>
    <row r="8" spans="1:10" x14ac:dyDescent="0.25">
      <c r="A8" s="7" t="s">
        <v>424</v>
      </c>
      <c r="B8" s="8">
        <v>2233</v>
      </c>
      <c r="C8" s="8">
        <v>0.59</v>
      </c>
      <c r="D8" s="8">
        <v>0.42</v>
      </c>
      <c r="E8" s="8">
        <v>0.17</v>
      </c>
      <c r="F8" s="8">
        <v>1.18</v>
      </c>
      <c r="G8" s="8" t="s">
        <v>425</v>
      </c>
    </row>
    <row r="9" spans="1:10" x14ac:dyDescent="0.25">
      <c r="A9" s="9" t="s">
        <v>427</v>
      </c>
      <c r="B9" s="10">
        <v>1787</v>
      </c>
      <c r="C9" s="10">
        <v>0.45</v>
      </c>
      <c r="D9" s="10">
        <v>0.4</v>
      </c>
      <c r="E9" s="10">
        <v>0.12</v>
      </c>
      <c r="F9" s="10">
        <v>0.97</v>
      </c>
      <c r="G9" s="10" t="s">
        <v>428</v>
      </c>
    </row>
    <row r="10" spans="1:10" x14ac:dyDescent="0.25">
      <c r="A10" s="7" t="s">
        <v>430</v>
      </c>
      <c r="B10" s="8">
        <v>1362</v>
      </c>
      <c r="C10" s="8">
        <v>0.62</v>
      </c>
      <c r="D10" s="8">
        <v>0.35</v>
      </c>
      <c r="E10" s="8">
        <v>0.22</v>
      </c>
      <c r="F10" s="8">
        <v>1.19</v>
      </c>
      <c r="G10" s="8" t="s">
        <v>431</v>
      </c>
    </row>
    <row r="11" spans="1:10" x14ac:dyDescent="0.25">
      <c r="A11" s="9" t="s">
        <v>433</v>
      </c>
      <c r="B11" s="10">
        <v>1371</v>
      </c>
      <c r="C11" s="10">
        <v>0.54</v>
      </c>
      <c r="D11" s="10">
        <v>0.39</v>
      </c>
      <c r="E11" s="10">
        <v>0.26</v>
      </c>
      <c r="F11" s="10">
        <v>1.19</v>
      </c>
      <c r="G11" s="10" t="s">
        <v>434</v>
      </c>
    </row>
    <row r="12" spans="1:10" x14ac:dyDescent="0.25">
      <c r="A12" s="7" t="s">
        <v>436</v>
      </c>
      <c r="B12" s="8">
        <v>4183</v>
      </c>
      <c r="C12" s="8">
        <v>0.36</v>
      </c>
      <c r="D12" s="8">
        <v>0.21</v>
      </c>
      <c r="E12" s="8">
        <v>7.0000000000000007E-2</v>
      </c>
      <c r="F12" s="8">
        <v>0.64</v>
      </c>
      <c r="G12" s="8" t="s">
        <v>437</v>
      </c>
    </row>
    <row r="13" spans="1:10" x14ac:dyDescent="0.25">
      <c r="A13" s="9" t="s">
        <v>439</v>
      </c>
      <c r="B13" s="10">
        <v>2659</v>
      </c>
      <c r="C13" s="10">
        <v>0.47</v>
      </c>
      <c r="D13" s="10">
        <v>0.27</v>
      </c>
      <c r="E13" s="10">
        <v>0.22</v>
      </c>
      <c r="F13" s="10">
        <v>0.96</v>
      </c>
      <c r="G13" s="10" t="s">
        <v>440</v>
      </c>
    </row>
    <row r="14" spans="1:10" x14ac:dyDescent="0.25">
      <c r="A14" s="7" t="s">
        <v>442</v>
      </c>
      <c r="B14" s="8">
        <v>2382</v>
      </c>
      <c r="C14" s="8">
        <v>0.35</v>
      </c>
      <c r="D14" s="8">
        <v>0.25</v>
      </c>
      <c r="E14" s="8">
        <v>0.08</v>
      </c>
      <c r="F14" s="8">
        <v>0.68</v>
      </c>
      <c r="G14" s="8" t="s">
        <v>443</v>
      </c>
    </row>
    <row r="15" spans="1:10" x14ac:dyDescent="0.25">
      <c r="A15" s="9" t="s">
        <v>445</v>
      </c>
      <c r="B15" s="10">
        <v>1426</v>
      </c>
      <c r="C15" s="10">
        <v>0.15</v>
      </c>
      <c r="D15" s="10">
        <v>0.44</v>
      </c>
      <c r="E15" s="10">
        <v>7.0000000000000007E-2</v>
      </c>
      <c r="F15" s="10">
        <v>0.66</v>
      </c>
      <c r="G15" s="10" t="s">
        <v>446</v>
      </c>
    </row>
    <row r="17" spans="1:7" ht="15" customHeight="1" x14ac:dyDescent="0.25">
      <c r="A17" s="102" t="s">
        <v>455</v>
      </c>
      <c r="B17" s="102"/>
      <c r="C17" s="102"/>
      <c r="D17" s="102"/>
      <c r="E17" s="102"/>
      <c r="F17" s="102"/>
      <c r="G17" s="102"/>
    </row>
    <row r="19" spans="1:7" ht="54.75" customHeight="1" x14ac:dyDescent="0.25">
      <c r="A19" s="90" t="s">
        <v>604</v>
      </c>
      <c r="B19" s="90"/>
      <c r="C19" s="90"/>
      <c r="D19" s="90"/>
      <c r="E19" s="90"/>
      <c r="F19" s="90"/>
      <c r="G19" s="90"/>
    </row>
  </sheetData>
  <mergeCells count="5">
    <mergeCell ref="A1:J1"/>
    <mergeCell ref="A2:J2"/>
    <mergeCell ref="A4:G4"/>
    <mergeCell ref="A17:G17"/>
    <mergeCell ref="A19:G1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648C-AEE8-43B3-A317-2883B4E5353A}">
  <dimension ref="A1:J19"/>
  <sheetViews>
    <sheetView workbookViewId="0">
      <selection activeCell="G5" sqref="G5"/>
    </sheetView>
  </sheetViews>
  <sheetFormatPr defaultColWidth="8.7109375" defaultRowHeight="15" x14ac:dyDescent="0.25"/>
  <cols>
    <col min="1" max="2" width="14" customWidth="1"/>
    <col min="3" max="3" width="16" customWidth="1"/>
    <col min="4" max="4" width="24" customWidth="1"/>
    <col min="5" max="5" width="22" customWidth="1"/>
    <col min="6" max="6" width="18" customWidth="1"/>
    <col min="7" max="7" width="14" customWidth="1"/>
    <col min="8" max="8" width="12" customWidth="1"/>
    <col min="9" max="9" width="28" customWidth="1"/>
  </cols>
  <sheetData>
    <row r="1" spans="1:10" ht="18" x14ac:dyDescent="0.25">
      <c r="A1" s="86" t="s">
        <v>456</v>
      </c>
      <c r="B1" s="86"/>
      <c r="C1" s="86"/>
      <c r="D1" s="86"/>
      <c r="E1" s="86"/>
      <c r="F1" s="86"/>
      <c r="G1" s="86"/>
      <c r="H1" s="86"/>
      <c r="I1" s="86"/>
      <c r="J1" s="86"/>
    </row>
    <row r="2" spans="1:10" ht="19.5" customHeight="1" x14ac:dyDescent="0.25">
      <c r="A2" s="87" t="s">
        <v>457</v>
      </c>
      <c r="B2" s="87"/>
      <c r="C2" s="87"/>
      <c r="D2" s="87"/>
      <c r="E2" s="87"/>
      <c r="F2" s="87"/>
      <c r="G2" s="87"/>
      <c r="H2" s="87"/>
      <c r="I2" s="87"/>
      <c r="J2" s="87"/>
    </row>
    <row r="4" spans="1:10" ht="15" customHeight="1" x14ac:dyDescent="0.25">
      <c r="A4" s="89" t="s">
        <v>458</v>
      </c>
      <c r="B4" s="89"/>
      <c r="C4" s="89"/>
      <c r="D4" s="89"/>
      <c r="E4" s="89"/>
      <c r="F4" s="89"/>
      <c r="G4" s="89"/>
      <c r="H4" s="89"/>
      <c r="I4" s="89"/>
    </row>
    <row r="5" spans="1:10" x14ac:dyDescent="0.25">
      <c r="A5" s="6" t="s">
        <v>459</v>
      </c>
      <c r="B5" s="6" t="s">
        <v>460</v>
      </c>
      <c r="C5" s="6" t="s">
        <v>461</v>
      </c>
      <c r="D5" s="6" t="s">
        <v>462</v>
      </c>
      <c r="E5" s="6" t="s">
        <v>463</v>
      </c>
      <c r="F5" s="6" t="s">
        <v>464</v>
      </c>
      <c r="G5" s="6" t="s">
        <v>465</v>
      </c>
      <c r="H5" s="6" t="s">
        <v>142</v>
      </c>
      <c r="I5" s="6" t="s">
        <v>466</v>
      </c>
    </row>
    <row r="6" spans="1:10" x14ac:dyDescent="0.25">
      <c r="A6" s="7" t="s">
        <v>467</v>
      </c>
      <c r="B6" s="8">
        <v>13059</v>
      </c>
      <c r="C6" s="8">
        <v>38146</v>
      </c>
      <c r="D6" s="8" t="s">
        <v>468</v>
      </c>
      <c r="E6" s="8" t="s">
        <v>469</v>
      </c>
      <c r="F6" s="8" t="s">
        <v>470</v>
      </c>
      <c r="G6" s="8">
        <v>168.63</v>
      </c>
      <c r="H6" s="8" t="s">
        <v>401</v>
      </c>
      <c r="I6" s="8" t="s">
        <v>471</v>
      </c>
    </row>
    <row r="7" spans="1:10" x14ac:dyDescent="0.25">
      <c r="A7" s="9" t="s">
        <v>472</v>
      </c>
      <c r="B7" s="10">
        <v>6913</v>
      </c>
      <c r="C7" s="10">
        <v>44292</v>
      </c>
      <c r="D7" s="10" t="s">
        <v>473</v>
      </c>
      <c r="E7" s="10" t="s">
        <v>474</v>
      </c>
      <c r="F7" s="10" t="s">
        <v>475</v>
      </c>
      <c r="G7" s="10">
        <v>22.22</v>
      </c>
      <c r="H7" s="10" t="s">
        <v>401</v>
      </c>
      <c r="I7" s="10" t="s">
        <v>471</v>
      </c>
    </row>
    <row r="8" spans="1:10" x14ac:dyDescent="0.25">
      <c r="A8" s="7" t="s">
        <v>476</v>
      </c>
      <c r="B8" s="8">
        <v>3414</v>
      </c>
      <c r="C8" s="8">
        <v>47791</v>
      </c>
      <c r="D8" s="8" t="s">
        <v>477</v>
      </c>
      <c r="E8" s="8" t="s">
        <v>478</v>
      </c>
      <c r="F8" s="8" t="s">
        <v>479</v>
      </c>
      <c r="G8" s="8">
        <v>0.02</v>
      </c>
      <c r="H8" s="8" t="s">
        <v>480</v>
      </c>
      <c r="I8" s="8" t="s">
        <v>471</v>
      </c>
    </row>
    <row r="9" spans="1:10" x14ac:dyDescent="0.25">
      <c r="A9" s="9" t="s">
        <v>481</v>
      </c>
      <c r="B9" s="10">
        <v>4842</v>
      </c>
      <c r="C9" s="10">
        <v>46363</v>
      </c>
      <c r="D9" s="10" t="s">
        <v>482</v>
      </c>
      <c r="E9" s="10" t="s">
        <v>483</v>
      </c>
      <c r="F9" s="10" t="s">
        <v>484</v>
      </c>
      <c r="G9" s="10">
        <v>0.05</v>
      </c>
      <c r="H9" s="10" t="s">
        <v>485</v>
      </c>
      <c r="I9" s="10" t="s">
        <v>486</v>
      </c>
    </row>
    <row r="10" spans="1:10" x14ac:dyDescent="0.25">
      <c r="A10" s="7" t="s">
        <v>487</v>
      </c>
      <c r="B10" s="8">
        <v>4121</v>
      </c>
      <c r="C10" s="8">
        <v>47084</v>
      </c>
      <c r="D10" s="8" t="s">
        <v>488</v>
      </c>
      <c r="E10" s="8" t="s">
        <v>489</v>
      </c>
      <c r="F10" s="8" t="s">
        <v>490</v>
      </c>
      <c r="G10" s="8">
        <v>0.51</v>
      </c>
      <c r="H10" s="8" t="s">
        <v>491</v>
      </c>
      <c r="I10" s="8" t="s">
        <v>486</v>
      </c>
    </row>
    <row r="11" spans="1:10" x14ac:dyDescent="0.25">
      <c r="A11" s="9" t="s">
        <v>492</v>
      </c>
      <c r="B11" s="10">
        <v>35412</v>
      </c>
      <c r="C11" s="10">
        <v>15793</v>
      </c>
      <c r="D11" s="10" t="s">
        <v>493</v>
      </c>
      <c r="E11" s="10" t="s">
        <v>494</v>
      </c>
      <c r="F11" s="10" t="s">
        <v>495</v>
      </c>
      <c r="G11" s="10">
        <v>5.65</v>
      </c>
      <c r="H11" s="10" t="s">
        <v>496</v>
      </c>
      <c r="I11" s="10" t="s">
        <v>486</v>
      </c>
    </row>
    <row r="12" spans="1:10" x14ac:dyDescent="0.25">
      <c r="A12" s="7" t="s">
        <v>497</v>
      </c>
      <c r="B12" s="8">
        <v>8306</v>
      </c>
      <c r="C12" s="8">
        <v>42899</v>
      </c>
      <c r="D12" s="8" t="s">
        <v>498</v>
      </c>
      <c r="E12" s="8" t="s">
        <v>499</v>
      </c>
      <c r="F12" s="8" t="s">
        <v>500</v>
      </c>
      <c r="G12" s="8">
        <v>3.76</v>
      </c>
      <c r="H12" s="8" t="s">
        <v>501</v>
      </c>
      <c r="I12" s="8" t="s">
        <v>486</v>
      </c>
    </row>
    <row r="13" spans="1:10" x14ac:dyDescent="0.25">
      <c r="A13" s="9" t="s">
        <v>502</v>
      </c>
      <c r="B13" s="10">
        <v>477</v>
      </c>
      <c r="C13" s="10">
        <v>50728</v>
      </c>
      <c r="D13" s="10" t="s">
        <v>503</v>
      </c>
      <c r="E13" s="10" t="s">
        <v>483</v>
      </c>
      <c r="F13" s="10" t="s">
        <v>504</v>
      </c>
      <c r="G13" s="10">
        <v>0.28000000000000003</v>
      </c>
      <c r="H13" s="10" t="s">
        <v>505</v>
      </c>
      <c r="I13" s="10" t="s">
        <v>486</v>
      </c>
    </row>
    <row r="14" spans="1:10" x14ac:dyDescent="0.25">
      <c r="A14" s="7" t="s">
        <v>506</v>
      </c>
      <c r="B14" s="8">
        <v>476</v>
      </c>
      <c r="C14" s="8">
        <v>50729</v>
      </c>
      <c r="D14" s="8" t="s">
        <v>507</v>
      </c>
      <c r="E14" s="8" t="s">
        <v>508</v>
      </c>
      <c r="F14" s="8" t="s">
        <v>509</v>
      </c>
      <c r="G14" s="8">
        <v>1.48</v>
      </c>
      <c r="H14" s="8" t="s">
        <v>510</v>
      </c>
      <c r="I14" s="8" t="s">
        <v>486</v>
      </c>
    </row>
    <row r="15" spans="1:10" x14ac:dyDescent="0.25">
      <c r="A15" s="9" t="s">
        <v>511</v>
      </c>
      <c r="B15" s="10">
        <v>1039</v>
      </c>
      <c r="C15" s="10">
        <v>50166</v>
      </c>
      <c r="D15" s="10" t="s">
        <v>512</v>
      </c>
      <c r="E15" s="10" t="s">
        <v>513</v>
      </c>
      <c r="F15" s="10" t="s">
        <v>514</v>
      </c>
      <c r="G15" s="10">
        <v>15.71</v>
      </c>
      <c r="H15" s="10" t="s">
        <v>515</v>
      </c>
      <c r="I15" s="10" t="s">
        <v>486</v>
      </c>
    </row>
    <row r="16" spans="1:10" x14ac:dyDescent="0.25">
      <c r="A16" s="7" t="s">
        <v>516</v>
      </c>
      <c r="B16" s="8">
        <v>74</v>
      </c>
      <c r="C16" s="8">
        <v>51131</v>
      </c>
      <c r="D16" s="8" t="s">
        <v>517</v>
      </c>
      <c r="E16" s="8" t="s">
        <v>483</v>
      </c>
      <c r="F16" s="8" t="s">
        <v>518</v>
      </c>
      <c r="G16" s="8">
        <v>1.36</v>
      </c>
      <c r="H16" s="8" t="s">
        <v>519</v>
      </c>
      <c r="I16" s="8" t="s">
        <v>486</v>
      </c>
    </row>
    <row r="17" spans="1:9" x14ac:dyDescent="0.25">
      <c r="A17" s="9" t="s">
        <v>520</v>
      </c>
      <c r="B17" s="10">
        <v>229</v>
      </c>
      <c r="C17" s="10">
        <v>50976</v>
      </c>
      <c r="D17" s="10" t="s">
        <v>521</v>
      </c>
      <c r="E17" s="10" t="s">
        <v>522</v>
      </c>
      <c r="F17" s="10" t="s">
        <v>523</v>
      </c>
      <c r="G17" s="10">
        <v>16.53</v>
      </c>
      <c r="H17" s="10" t="s">
        <v>401</v>
      </c>
      <c r="I17" s="10" t="s">
        <v>486</v>
      </c>
    </row>
    <row r="19" spans="1:9" ht="64.5" customHeight="1" x14ac:dyDescent="0.25">
      <c r="A19" s="90" t="s">
        <v>603</v>
      </c>
      <c r="B19" s="90"/>
      <c r="C19" s="90"/>
      <c r="D19" s="90"/>
      <c r="E19" s="90"/>
      <c r="F19" s="90"/>
      <c r="G19" s="90"/>
      <c r="H19" s="90"/>
      <c r="I19" s="90"/>
    </row>
  </sheetData>
  <mergeCells count="4">
    <mergeCell ref="A1:J1"/>
    <mergeCell ref="A2:J2"/>
    <mergeCell ref="A4:I4"/>
    <mergeCell ref="A19:I1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314C5-7B47-4996-AFFC-5D42C4E41B9B}">
  <dimension ref="A1:J17"/>
  <sheetViews>
    <sheetView topLeftCell="A9" workbookViewId="0">
      <selection activeCell="A17" sqref="A17:G17"/>
    </sheetView>
  </sheetViews>
  <sheetFormatPr defaultColWidth="8.7109375" defaultRowHeight="15" x14ac:dyDescent="0.25"/>
  <cols>
    <col min="1" max="1" width="34" customWidth="1"/>
    <col min="2" max="2" width="16" customWidth="1"/>
    <col min="3" max="3" width="18" customWidth="1"/>
    <col min="4" max="4" width="22" customWidth="1"/>
    <col min="5" max="6" width="18" customWidth="1"/>
    <col min="7" max="7" width="22" customWidth="1"/>
  </cols>
  <sheetData>
    <row r="1" spans="1:10" ht="18" x14ac:dyDescent="0.25">
      <c r="A1" s="86" t="s">
        <v>524</v>
      </c>
      <c r="B1" s="86"/>
      <c r="C1" s="86"/>
      <c r="D1" s="86"/>
      <c r="E1" s="86"/>
      <c r="F1" s="86"/>
      <c r="G1" s="86"/>
      <c r="H1" s="86"/>
      <c r="I1" s="86"/>
      <c r="J1" s="86"/>
    </row>
    <row r="2" spans="1:10" ht="19.5" customHeight="1" x14ac:dyDescent="0.25">
      <c r="A2" s="87" t="s">
        <v>601</v>
      </c>
      <c r="B2" s="87"/>
      <c r="C2" s="87"/>
      <c r="D2" s="87"/>
      <c r="E2" s="87"/>
      <c r="F2" s="87"/>
      <c r="G2" s="87"/>
      <c r="H2" s="87"/>
      <c r="I2" s="87"/>
      <c r="J2" s="87"/>
    </row>
    <row r="4" spans="1:10" ht="15" customHeight="1" x14ac:dyDescent="0.25">
      <c r="A4" s="89" t="s">
        <v>525</v>
      </c>
      <c r="B4" s="89"/>
      <c r="C4" s="89"/>
      <c r="D4" s="89"/>
      <c r="E4" s="89"/>
      <c r="F4" s="89"/>
      <c r="G4" s="89"/>
    </row>
    <row r="5" spans="1:10" x14ac:dyDescent="0.25">
      <c r="A5" s="6" t="s">
        <v>105</v>
      </c>
      <c r="B5" s="6" t="s">
        <v>80</v>
      </c>
      <c r="C5" s="6" t="s">
        <v>279</v>
      </c>
      <c r="D5" s="6" t="s">
        <v>407</v>
      </c>
      <c r="E5" s="6" t="s">
        <v>408</v>
      </c>
      <c r="F5" s="6" t="s">
        <v>106</v>
      </c>
      <c r="G5" s="6" t="s">
        <v>83</v>
      </c>
    </row>
    <row r="6" spans="1:10" x14ac:dyDescent="0.25">
      <c r="A6" s="7" t="s">
        <v>526</v>
      </c>
      <c r="B6" s="8">
        <v>1098</v>
      </c>
      <c r="C6" s="8">
        <v>17.46</v>
      </c>
      <c r="D6" s="8">
        <v>43.33</v>
      </c>
      <c r="E6" s="8">
        <v>1.75</v>
      </c>
      <c r="F6" s="8">
        <v>4.79</v>
      </c>
      <c r="G6" s="8" t="s">
        <v>527</v>
      </c>
    </row>
    <row r="7" spans="1:10" x14ac:dyDescent="0.25">
      <c r="A7" s="9" t="s">
        <v>528</v>
      </c>
      <c r="B7" s="10">
        <v>4986</v>
      </c>
      <c r="C7" s="10">
        <v>14.25</v>
      </c>
      <c r="D7" s="10">
        <v>42.19</v>
      </c>
      <c r="E7" s="10">
        <v>1.1200000000000001</v>
      </c>
      <c r="F7" s="10">
        <v>4.32</v>
      </c>
      <c r="G7" s="10" t="s">
        <v>529</v>
      </c>
    </row>
    <row r="8" spans="1:10" x14ac:dyDescent="0.25">
      <c r="A8" s="7" t="s">
        <v>530</v>
      </c>
      <c r="B8" s="8">
        <v>4924</v>
      </c>
      <c r="C8" s="8">
        <v>14.43</v>
      </c>
      <c r="D8" s="8">
        <v>43.26</v>
      </c>
      <c r="E8" s="8">
        <v>1</v>
      </c>
      <c r="F8" s="8">
        <v>4.4400000000000004</v>
      </c>
      <c r="G8" s="8" t="s">
        <v>531</v>
      </c>
    </row>
    <row r="9" spans="1:10" x14ac:dyDescent="0.25">
      <c r="A9" s="9" t="s">
        <v>532</v>
      </c>
      <c r="B9" s="10">
        <v>9460</v>
      </c>
      <c r="C9" s="10">
        <v>14.7</v>
      </c>
      <c r="D9" s="10">
        <v>49.56</v>
      </c>
      <c r="E9" s="10">
        <v>0.98</v>
      </c>
      <c r="F9" s="10">
        <v>4.57</v>
      </c>
      <c r="G9" s="10" t="s">
        <v>533</v>
      </c>
    </row>
    <row r="10" spans="1:10" x14ac:dyDescent="0.25">
      <c r="A10" s="7" t="s">
        <v>534</v>
      </c>
      <c r="B10" s="8">
        <v>767</v>
      </c>
      <c r="C10" s="8">
        <v>19.04</v>
      </c>
      <c r="D10" s="8">
        <v>31.01</v>
      </c>
      <c r="E10" s="8">
        <v>3.15</v>
      </c>
      <c r="F10" s="8">
        <v>3.49</v>
      </c>
      <c r="G10" s="8" t="s">
        <v>535</v>
      </c>
    </row>
    <row r="11" spans="1:10" x14ac:dyDescent="0.25">
      <c r="A11" s="9" t="s">
        <v>536</v>
      </c>
      <c r="B11" s="10">
        <v>2067</v>
      </c>
      <c r="C11" s="10">
        <v>16.739999999999998</v>
      </c>
      <c r="D11" s="10">
        <v>38.1</v>
      </c>
      <c r="E11" s="10">
        <v>1.64</v>
      </c>
      <c r="F11" s="10">
        <v>4.5199999999999996</v>
      </c>
      <c r="G11" s="10" t="s">
        <v>537</v>
      </c>
    </row>
    <row r="12" spans="1:10" x14ac:dyDescent="0.25">
      <c r="A12" s="7" t="s">
        <v>538</v>
      </c>
      <c r="B12" s="8">
        <v>3434</v>
      </c>
      <c r="C12" s="8">
        <v>17.12</v>
      </c>
      <c r="D12" s="8">
        <v>43.19</v>
      </c>
      <c r="E12" s="8">
        <v>2.7</v>
      </c>
      <c r="F12" s="8">
        <v>3.6</v>
      </c>
      <c r="G12" s="8" t="s">
        <v>539</v>
      </c>
    </row>
    <row r="13" spans="1:10" x14ac:dyDescent="0.25">
      <c r="A13" s="9" t="s">
        <v>117</v>
      </c>
      <c r="B13" s="10">
        <v>602</v>
      </c>
      <c r="C13" s="10">
        <v>11.76</v>
      </c>
      <c r="D13" s="10">
        <v>38.39</v>
      </c>
      <c r="E13" s="10">
        <v>0.37</v>
      </c>
      <c r="F13" s="10">
        <v>6.64</v>
      </c>
      <c r="G13" s="10" t="s">
        <v>540</v>
      </c>
    </row>
    <row r="14" spans="1:10" x14ac:dyDescent="0.25">
      <c r="A14" s="7" t="s">
        <v>541</v>
      </c>
      <c r="B14" s="8">
        <v>912</v>
      </c>
      <c r="C14" s="8">
        <v>20.8</v>
      </c>
      <c r="D14" s="8">
        <v>29.16</v>
      </c>
      <c r="E14" s="8">
        <v>1.97</v>
      </c>
      <c r="F14" s="8">
        <v>3.97</v>
      </c>
      <c r="G14" s="8" t="s">
        <v>542</v>
      </c>
    </row>
    <row r="15" spans="1:10" x14ac:dyDescent="0.25">
      <c r="A15" s="9" t="s">
        <v>543</v>
      </c>
      <c r="B15" s="10">
        <v>812</v>
      </c>
      <c r="C15" s="10">
        <v>20.25</v>
      </c>
      <c r="D15" s="10">
        <v>33.89</v>
      </c>
      <c r="E15" s="10">
        <v>1.69</v>
      </c>
      <c r="F15" s="10">
        <v>3.95</v>
      </c>
      <c r="G15" s="10" t="s">
        <v>544</v>
      </c>
    </row>
    <row r="17" spans="1:7" ht="60" customHeight="1" x14ac:dyDescent="0.25">
      <c r="A17" s="90" t="s">
        <v>602</v>
      </c>
      <c r="B17" s="90"/>
      <c r="C17" s="90"/>
      <c r="D17" s="90"/>
      <c r="E17" s="90"/>
      <c r="F17" s="90"/>
      <c r="G17" s="90"/>
    </row>
  </sheetData>
  <mergeCells count="4">
    <mergeCell ref="A1:J1"/>
    <mergeCell ref="A2:J2"/>
    <mergeCell ref="A4:G4"/>
    <mergeCell ref="A17:G1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99079-6512-439C-8D28-86F195A3EE2C}">
  <dimension ref="A1:J27"/>
  <sheetViews>
    <sheetView workbookViewId="0">
      <selection activeCell="L14" sqref="L14"/>
    </sheetView>
  </sheetViews>
  <sheetFormatPr defaultColWidth="8.7109375" defaultRowHeight="15" x14ac:dyDescent="0.25"/>
  <cols>
    <col min="1" max="1" width="15.140625" bestFit="1" customWidth="1"/>
    <col min="2" max="2" width="13.5703125" bestFit="1" customWidth="1"/>
    <col min="3" max="3" width="12.28515625" bestFit="1" customWidth="1"/>
    <col min="4" max="4" width="15.140625" bestFit="1" customWidth="1"/>
    <col min="5" max="5" width="20.7109375" bestFit="1" customWidth="1"/>
    <col min="6" max="6" width="15.140625" bestFit="1" customWidth="1"/>
    <col min="7" max="7" width="16" bestFit="1" customWidth="1"/>
  </cols>
  <sheetData>
    <row r="1" spans="1:10" ht="18" x14ac:dyDescent="0.25">
      <c r="A1" s="86" t="s">
        <v>545</v>
      </c>
      <c r="B1" s="86"/>
      <c r="C1" s="86"/>
      <c r="D1" s="86"/>
      <c r="E1" s="86"/>
      <c r="F1" s="86"/>
      <c r="G1" s="86"/>
      <c r="H1" s="86"/>
      <c r="I1" s="86"/>
      <c r="J1" s="86"/>
    </row>
    <row r="2" spans="1:10" x14ac:dyDescent="0.25">
      <c r="A2" s="87" t="s">
        <v>599</v>
      </c>
      <c r="B2" s="87"/>
      <c r="C2" s="87"/>
      <c r="D2" s="87"/>
      <c r="E2" s="87"/>
      <c r="F2" s="87"/>
      <c r="G2" s="87"/>
      <c r="H2" s="87"/>
      <c r="I2" s="87"/>
      <c r="J2" s="87"/>
    </row>
    <row r="4" spans="1:10" ht="31.5" customHeight="1" x14ac:dyDescent="0.25">
      <c r="A4" s="88" t="s">
        <v>1148</v>
      </c>
      <c r="B4" s="88"/>
      <c r="C4" s="88"/>
      <c r="D4" s="88"/>
      <c r="E4" s="88"/>
      <c r="F4" s="88"/>
      <c r="G4" s="88"/>
    </row>
    <row r="6" spans="1:10" x14ac:dyDescent="0.25">
      <c r="A6" s="89" t="s">
        <v>546</v>
      </c>
      <c r="B6" s="89"/>
      <c r="C6" s="89"/>
      <c r="D6" s="89"/>
      <c r="E6" s="89"/>
      <c r="F6" s="89"/>
      <c r="G6" s="89"/>
    </row>
    <row r="7" spans="1:10" x14ac:dyDescent="0.25">
      <c r="A7" s="6" t="s">
        <v>547</v>
      </c>
      <c r="B7" s="6" t="s">
        <v>80</v>
      </c>
      <c r="C7" s="6" t="s">
        <v>81</v>
      </c>
      <c r="D7" s="6" t="s">
        <v>82</v>
      </c>
      <c r="E7" s="6" t="s">
        <v>83</v>
      </c>
      <c r="F7" s="6" t="s">
        <v>106</v>
      </c>
      <c r="G7" s="6" t="s">
        <v>279</v>
      </c>
    </row>
    <row r="8" spans="1:10" x14ac:dyDescent="0.25">
      <c r="A8" s="7" t="s">
        <v>237</v>
      </c>
      <c r="B8" s="8">
        <v>4</v>
      </c>
      <c r="C8" s="8">
        <v>4</v>
      </c>
      <c r="D8" s="8">
        <v>0</v>
      </c>
      <c r="E8" s="8" t="s">
        <v>238</v>
      </c>
      <c r="F8" s="8">
        <v>8</v>
      </c>
      <c r="G8" s="8">
        <v>17</v>
      </c>
    </row>
    <row r="9" spans="1:10" x14ac:dyDescent="0.25">
      <c r="A9" s="9" t="s">
        <v>231</v>
      </c>
      <c r="B9" s="10">
        <v>26</v>
      </c>
      <c r="C9" s="10">
        <v>21</v>
      </c>
      <c r="D9" s="10">
        <v>5</v>
      </c>
      <c r="E9" s="10" t="s">
        <v>239</v>
      </c>
      <c r="F9" s="10">
        <v>4.6500000000000004</v>
      </c>
      <c r="G9" s="10">
        <v>16.2</v>
      </c>
    </row>
    <row r="10" spans="1:10" x14ac:dyDescent="0.25">
      <c r="A10" s="7" t="s">
        <v>225</v>
      </c>
      <c r="B10" s="8">
        <v>416</v>
      </c>
      <c r="C10" s="8">
        <v>244</v>
      </c>
      <c r="D10" s="8">
        <v>172</v>
      </c>
      <c r="E10" s="8" t="s">
        <v>240</v>
      </c>
      <c r="F10" s="8">
        <v>4.37</v>
      </c>
      <c r="G10" s="8">
        <v>16.899999999999999</v>
      </c>
    </row>
    <row r="11" spans="1:10" x14ac:dyDescent="0.25">
      <c r="A11" s="9" t="s">
        <v>227</v>
      </c>
      <c r="B11" s="10">
        <v>104</v>
      </c>
      <c r="C11" s="10">
        <v>51</v>
      </c>
      <c r="D11" s="10">
        <v>53</v>
      </c>
      <c r="E11" s="10" t="s">
        <v>241</v>
      </c>
      <c r="F11" s="10">
        <v>4.63</v>
      </c>
      <c r="G11" s="10">
        <v>17.3</v>
      </c>
    </row>
    <row r="12" spans="1:10" x14ac:dyDescent="0.25">
      <c r="A12" s="7" t="s">
        <v>233</v>
      </c>
      <c r="B12" s="8">
        <v>20</v>
      </c>
      <c r="C12" s="8">
        <v>5</v>
      </c>
      <c r="D12" s="8">
        <v>15</v>
      </c>
      <c r="E12" s="8" t="s">
        <v>242</v>
      </c>
      <c r="F12" s="8">
        <v>5.35</v>
      </c>
      <c r="G12" s="8">
        <v>17.2</v>
      </c>
    </row>
    <row r="13" spans="1:10" x14ac:dyDescent="0.25">
      <c r="A13" s="9" t="s">
        <v>235</v>
      </c>
      <c r="B13" s="10">
        <v>8</v>
      </c>
      <c r="C13" s="10">
        <v>3</v>
      </c>
      <c r="D13" s="10">
        <v>5</v>
      </c>
      <c r="E13" s="10" t="s">
        <v>243</v>
      </c>
      <c r="F13" s="10">
        <v>6.25</v>
      </c>
      <c r="G13" s="10">
        <v>17.100000000000001</v>
      </c>
    </row>
    <row r="14" spans="1:10" x14ac:dyDescent="0.25">
      <c r="A14" s="7" t="s">
        <v>229</v>
      </c>
      <c r="B14" s="8">
        <v>52</v>
      </c>
      <c r="C14" s="8">
        <v>30</v>
      </c>
      <c r="D14" s="8">
        <v>22</v>
      </c>
      <c r="E14" s="8" t="s">
        <v>244</v>
      </c>
      <c r="F14" s="8">
        <v>5.63</v>
      </c>
      <c r="G14" s="8">
        <v>18</v>
      </c>
    </row>
    <row r="15" spans="1:10" x14ac:dyDescent="0.25">
      <c r="A15" s="9" t="s">
        <v>223</v>
      </c>
      <c r="B15" s="10">
        <v>603</v>
      </c>
      <c r="C15" s="10">
        <v>322</v>
      </c>
      <c r="D15" s="10">
        <v>281</v>
      </c>
      <c r="E15" s="10" t="s">
        <v>245</v>
      </c>
      <c r="F15" s="10">
        <v>5</v>
      </c>
      <c r="G15" s="10">
        <v>16</v>
      </c>
    </row>
    <row r="16" spans="1:10" x14ac:dyDescent="0.25">
      <c r="A16" s="7" t="s">
        <v>221</v>
      </c>
      <c r="B16" s="8">
        <v>900</v>
      </c>
      <c r="C16" s="8">
        <v>528</v>
      </c>
      <c r="D16" s="8">
        <v>372</v>
      </c>
      <c r="E16" s="8" t="s">
        <v>246</v>
      </c>
      <c r="F16" s="8">
        <v>4.8</v>
      </c>
      <c r="G16" s="8">
        <v>16.5</v>
      </c>
    </row>
    <row r="19" spans="1:7" x14ac:dyDescent="0.25">
      <c r="A19" s="89" t="s">
        <v>548</v>
      </c>
      <c r="B19" s="89"/>
      <c r="C19" s="89"/>
    </row>
    <row r="20" spans="1:7" ht="25.5" x14ac:dyDescent="0.25">
      <c r="A20" s="6" t="s">
        <v>412</v>
      </c>
      <c r="B20" s="6" t="s">
        <v>216</v>
      </c>
      <c r="C20" s="6" t="s">
        <v>549</v>
      </c>
    </row>
    <row r="21" spans="1:7" x14ac:dyDescent="0.25">
      <c r="A21" s="7" t="s">
        <v>435</v>
      </c>
      <c r="B21" s="8">
        <v>150</v>
      </c>
      <c r="C21" s="8" t="s">
        <v>550</v>
      </c>
    </row>
    <row r="22" spans="1:7" x14ac:dyDescent="0.25">
      <c r="A22" s="9" t="s">
        <v>444</v>
      </c>
      <c r="B22" s="10">
        <v>118</v>
      </c>
      <c r="C22" s="10" t="s">
        <v>551</v>
      </c>
    </row>
    <row r="23" spans="1:7" x14ac:dyDescent="0.25">
      <c r="A23" s="7" t="s">
        <v>420</v>
      </c>
      <c r="B23" s="8">
        <v>109</v>
      </c>
      <c r="C23" s="8" t="s">
        <v>552</v>
      </c>
    </row>
    <row r="24" spans="1:7" x14ac:dyDescent="0.25">
      <c r="A24" s="9" t="s">
        <v>426</v>
      </c>
      <c r="B24" s="10">
        <v>87</v>
      </c>
      <c r="C24" s="10" t="s">
        <v>553</v>
      </c>
    </row>
    <row r="25" spans="1:7" x14ac:dyDescent="0.25">
      <c r="A25" s="7" t="s">
        <v>441</v>
      </c>
      <c r="B25" s="8">
        <v>86</v>
      </c>
      <c r="C25" s="8" t="s">
        <v>554</v>
      </c>
    </row>
    <row r="27" spans="1:7" x14ac:dyDescent="0.25">
      <c r="A27" s="90" t="s">
        <v>600</v>
      </c>
      <c r="B27" s="90"/>
      <c r="C27" s="90"/>
      <c r="D27" s="90"/>
      <c r="E27" s="90"/>
      <c r="F27" s="90"/>
      <c r="G27" s="90"/>
    </row>
  </sheetData>
  <mergeCells count="6">
    <mergeCell ref="A27:G27"/>
    <mergeCell ref="A1:J1"/>
    <mergeCell ref="A2:J2"/>
    <mergeCell ref="A4:G4"/>
    <mergeCell ref="A6:G6"/>
    <mergeCell ref="A19:C1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CF825-85BF-47DF-BC1B-B4759404E7ED}">
  <dimension ref="A1:J27"/>
  <sheetViews>
    <sheetView topLeftCell="A17" workbookViewId="0">
      <selection activeCell="A27" sqref="A27:E27"/>
    </sheetView>
  </sheetViews>
  <sheetFormatPr defaultColWidth="8.7109375" defaultRowHeight="15" x14ac:dyDescent="0.25"/>
  <cols>
    <col min="1" max="1" width="24" customWidth="1"/>
    <col min="2" max="2" width="16" customWidth="1"/>
    <col min="3" max="3" width="20" customWidth="1"/>
    <col min="4" max="4" width="18" customWidth="1"/>
    <col min="5" max="5" width="22" customWidth="1"/>
  </cols>
  <sheetData>
    <row r="1" spans="1:10" ht="18" x14ac:dyDescent="0.25">
      <c r="A1" s="86" t="s">
        <v>555</v>
      </c>
      <c r="B1" s="86"/>
      <c r="C1" s="86"/>
      <c r="D1" s="86"/>
      <c r="E1" s="86"/>
      <c r="F1" s="86"/>
      <c r="G1" s="86"/>
      <c r="H1" s="86"/>
      <c r="I1" s="86"/>
      <c r="J1" s="86"/>
    </row>
    <row r="2" spans="1:10" ht="19.5" customHeight="1" x14ac:dyDescent="0.25">
      <c r="A2" s="87" t="s">
        <v>556</v>
      </c>
      <c r="B2" s="87"/>
      <c r="C2" s="87"/>
      <c r="D2" s="87"/>
      <c r="E2" s="87"/>
      <c r="F2" s="87"/>
      <c r="G2" s="87"/>
      <c r="H2" s="87"/>
      <c r="I2" s="87"/>
      <c r="J2" s="87"/>
    </row>
    <row r="4" spans="1:10" ht="23.85" customHeight="1" x14ac:dyDescent="0.25">
      <c r="A4" s="103" t="s">
        <v>557</v>
      </c>
      <c r="B4" s="103"/>
      <c r="C4" s="103"/>
      <c r="D4" s="103"/>
      <c r="E4" s="103"/>
      <c r="F4" s="103"/>
    </row>
    <row r="6" spans="1:10" ht="15" customHeight="1" x14ac:dyDescent="0.25">
      <c r="A6" s="89" t="s">
        <v>558</v>
      </c>
      <c r="B6" s="89"/>
      <c r="C6" s="89"/>
      <c r="D6" s="89"/>
      <c r="E6" s="89"/>
    </row>
    <row r="7" spans="1:10" x14ac:dyDescent="0.25">
      <c r="A7" s="6" t="s">
        <v>79</v>
      </c>
      <c r="B7" s="6" t="s">
        <v>80</v>
      </c>
      <c r="C7" s="6" t="s">
        <v>559</v>
      </c>
      <c r="D7" s="6" t="s">
        <v>106</v>
      </c>
      <c r="E7" s="6" t="s">
        <v>83</v>
      </c>
    </row>
    <row r="8" spans="1:10" x14ac:dyDescent="0.25">
      <c r="A8" s="7" t="s">
        <v>84</v>
      </c>
      <c r="B8" s="8">
        <v>100</v>
      </c>
      <c r="C8" s="8">
        <v>3.47</v>
      </c>
      <c r="D8" s="8">
        <v>2.76</v>
      </c>
      <c r="E8" s="8" t="s">
        <v>85</v>
      </c>
    </row>
    <row r="9" spans="1:10" x14ac:dyDescent="0.25">
      <c r="A9" s="9" t="s">
        <v>86</v>
      </c>
      <c r="B9" s="10">
        <v>428</v>
      </c>
      <c r="C9" s="10">
        <v>5.0599999999999996</v>
      </c>
      <c r="D9" s="10">
        <v>3.28</v>
      </c>
      <c r="E9" s="10" t="s">
        <v>87</v>
      </c>
    </row>
    <row r="10" spans="1:10" x14ac:dyDescent="0.25">
      <c r="A10" s="7" t="s">
        <v>88</v>
      </c>
      <c r="B10" s="8">
        <v>1154</v>
      </c>
      <c r="C10" s="8">
        <v>6.14</v>
      </c>
      <c r="D10" s="8">
        <v>3.51</v>
      </c>
      <c r="E10" s="8" t="s">
        <v>89</v>
      </c>
    </row>
    <row r="11" spans="1:10" x14ac:dyDescent="0.25">
      <c r="A11" s="9" t="s">
        <v>90</v>
      </c>
      <c r="B11" s="10">
        <v>2414</v>
      </c>
      <c r="C11" s="10">
        <v>5.78</v>
      </c>
      <c r="D11" s="10">
        <v>3.76</v>
      </c>
      <c r="E11" s="10" t="s">
        <v>91</v>
      </c>
    </row>
    <row r="12" spans="1:10" x14ac:dyDescent="0.25">
      <c r="A12" s="7" t="s">
        <v>92</v>
      </c>
      <c r="B12" s="8">
        <v>6324</v>
      </c>
      <c r="C12" s="8">
        <v>6.13</v>
      </c>
      <c r="D12" s="8">
        <v>4.07</v>
      </c>
      <c r="E12" s="8" t="s">
        <v>93</v>
      </c>
    </row>
    <row r="13" spans="1:10" x14ac:dyDescent="0.25">
      <c r="A13" s="9" t="s">
        <v>94</v>
      </c>
      <c r="B13" s="10">
        <v>11378</v>
      </c>
      <c r="C13" s="10">
        <v>6.1</v>
      </c>
      <c r="D13" s="10">
        <v>4.12</v>
      </c>
      <c r="E13" s="10" t="s">
        <v>95</v>
      </c>
    </row>
    <row r="14" spans="1:10" x14ac:dyDescent="0.25">
      <c r="A14" s="7" t="s">
        <v>96</v>
      </c>
      <c r="B14" s="8">
        <v>14845</v>
      </c>
      <c r="C14" s="8">
        <v>6.37</v>
      </c>
      <c r="D14" s="8">
        <v>4.38</v>
      </c>
      <c r="E14" s="8" t="s">
        <v>10</v>
      </c>
    </row>
    <row r="15" spans="1:10" x14ac:dyDescent="0.25">
      <c r="A15" s="9" t="s">
        <v>97</v>
      </c>
      <c r="B15" s="10">
        <v>17031</v>
      </c>
      <c r="C15" s="10">
        <v>6.65</v>
      </c>
      <c r="D15" s="10">
        <v>4.5999999999999996</v>
      </c>
      <c r="E15" s="10" t="s">
        <v>98</v>
      </c>
    </row>
    <row r="16" spans="1:10" x14ac:dyDescent="0.25">
      <c r="A16" s="7" t="s">
        <v>99</v>
      </c>
      <c r="B16" s="8">
        <v>11080</v>
      </c>
      <c r="C16" s="8">
        <v>6.9</v>
      </c>
      <c r="D16" s="8">
        <v>4.8499999999999996</v>
      </c>
      <c r="E16" s="8" t="s">
        <v>100</v>
      </c>
    </row>
    <row r="17" spans="1:5" x14ac:dyDescent="0.25">
      <c r="A17" s="9" t="s">
        <v>101</v>
      </c>
      <c r="B17" s="10">
        <v>1833</v>
      </c>
      <c r="C17" s="10">
        <v>6.33</v>
      </c>
      <c r="D17" s="10">
        <v>4.62</v>
      </c>
      <c r="E17" s="10" t="s">
        <v>102</v>
      </c>
    </row>
    <row r="19" spans="1:5" ht="15" customHeight="1" x14ac:dyDescent="0.25">
      <c r="A19" s="89" t="s">
        <v>560</v>
      </c>
      <c r="B19" s="89"/>
      <c r="C19" s="89"/>
      <c r="D19" s="89"/>
      <c r="E19" s="89"/>
    </row>
    <row r="20" spans="1:5" x14ac:dyDescent="0.25">
      <c r="A20" s="6" t="s">
        <v>365</v>
      </c>
      <c r="B20" s="6" t="s">
        <v>80</v>
      </c>
      <c r="C20" s="6" t="s">
        <v>559</v>
      </c>
      <c r="D20" s="6" t="s">
        <v>106</v>
      </c>
      <c r="E20" s="6" t="s">
        <v>83</v>
      </c>
    </row>
    <row r="21" spans="1:5" x14ac:dyDescent="0.25">
      <c r="A21" s="7" t="s">
        <v>367</v>
      </c>
      <c r="B21" s="8">
        <v>2664</v>
      </c>
      <c r="C21" s="8">
        <v>4.13</v>
      </c>
      <c r="D21" s="8">
        <v>2.76</v>
      </c>
      <c r="E21" s="8" t="s">
        <v>368</v>
      </c>
    </row>
    <row r="22" spans="1:5" x14ac:dyDescent="0.25">
      <c r="A22" s="9" t="s">
        <v>369</v>
      </c>
      <c r="B22" s="10">
        <v>17734</v>
      </c>
      <c r="C22" s="10">
        <v>5.39</v>
      </c>
      <c r="D22" s="10">
        <v>3.72</v>
      </c>
      <c r="E22" s="10" t="s">
        <v>370</v>
      </c>
    </row>
    <row r="23" spans="1:5" x14ac:dyDescent="0.25">
      <c r="A23" s="7" t="s">
        <v>371</v>
      </c>
      <c r="B23" s="8">
        <v>46112</v>
      </c>
      <c r="C23" s="8">
        <v>6.95</v>
      </c>
      <c r="D23" s="8">
        <v>4.75</v>
      </c>
      <c r="E23" s="8" t="s">
        <v>372</v>
      </c>
    </row>
    <row r="24" spans="1:5" x14ac:dyDescent="0.25">
      <c r="A24" s="9" t="s">
        <v>373</v>
      </c>
      <c r="B24" s="10">
        <v>27</v>
      </c>
      <c r="C24" s="10">
        <v>6.85</v>
      </c>
      <c r="D24" s="10">
        <v>4.4400000000000004</v>
      </c>
      <c r="E24" s="10" t="s">
        <v>374</v>
      </c>
    </row>
    <row r="25" spans="1:5" x14ac:dyDescent="0.25">
      <c r="A25" s="7" t="s">
        <v>375</v>
      </c>
      <c r="B25" s="8">
        <v>50</v>
      </c>
      <c r="C25" s="8">
        <v>8.58</v>
      </c>
      <c r="D25" s="8">
        <v>6.44</v>
      </c>
      <c r="E25" s="8" t="s">
        <v>376</v>
      </c>
    </row>
    <row r="27" spans="1:5" ht="60" customHeight="1" x14ac:dyDescent="0.25">
      <c r="A27" s="90" t="s">
        <v>598</v>
      </c>
      <c r="B27" s="90"/>
      <c r="C27" s="90"/>
      <c r="D27" s="90"/>
      <c r="E27" s="90"/>
    </row>
  </sheetData>
  <mergeCells count="6">
    <mergeCell ref="A27:E27"/>
    <mergeCell ref="A1:J1"/>
    <mergeCell ref="A2:J2"/>
    <mergeCell ref="A4:F4"/>
    <mergeCell ref="A6:E6"/>
    <mergeCell ref="A19:E1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D161-ED37-4F0B-810A-14C98BDC7195}">
  <dimension ref="A1:J26"/>
  <sheetViews>
    <sheetView topLeftCell="A16" workbookViewId="0">
      <selection activeCell="B27" sqref="B27"/>
    </sheetView>
  </sheetViews>
  <sheetFormatPr defaultColWidth="8.7109375" defaultRowHeight="15" x14ac:dyDescent="0.25"/>
  <cols>
    <col min="1" max="1" width="32" customWidth="1"/>
    <col min="2" max="2" width="12" customWidth="1"/>
    <col min="3" max="3" width="26" customWidth="1"/>
    <col min="4" max="4" width="38" customWidth="1"/>
    <col min="5" max="5" width="14" customWidth="1"/>
    <col min="6" max="6" width="18" customWidth="1"/>
  </cols>
  <sheetData>
    <row r="1" spans="1:10" ht="18" x14ac:dyDescent="0.25">
      <c r="A1" s="86" t="s">
        <v>597</v>
      </c>
      <c r="B1" s="86"/>
      <c r="C1" s="86"/>
      <c r="D1" s="86"/>
      <c r="E1" s="86"/>
      <c r="F1" s="86"/>
      <c r="G1" s="86"/>
      <c r="H1" s="86"/>
      <c r="I1" s="86"/>
      <c r="J1" s="86"/>
    </row>
    <row r="2" spans="1:10" ht="19.5" customHeight="1" x14ac:dyDescent="0.25">
      <c r="A2" s="87" t="s">
        <v>561</v>
      </c>
      <c r="B2" s="87"/>
      <c r="C2" s="87"/>
      <c r="D2" s="87"/>
      <c r="E2" s="87"/>
      <c r="F2" s="87"/>
      <c r="G2" s="87"/>
      <c r="H2" s="87"/>
      <c r="I2" s="87"/>
      <c r="J2" s="87"/>
    </row>
    <row r="4" spans="1:10" ht="27.75" customHeight="1" x14ac:dyDescent="0.25">
      <c r="A4" s="88" t="s">
        <v>596</v>
      </c>
      <c r="B4" s="88"/>
      <c r="C4" s="88"/>
      <c r="D4" s="88"/>
      <c r="E4" s="88"/>
      <c r="F4" s="88"/>
      <c r="G4" s="88"/>
    </row>
    <row r="6" spans="1:10" ht="15" customHeight="1" x14ac:dyDescent="0.25">
      <c r="A6" s="89" t="s">
        <v>562</v>
      </c>
      <c r="B6" s="89"/>
      <c r="C6" s="89"/>
      <c r="D6" s="89"/>
    </row>
    <row r="7" spans="1:10" x14ac:dyDescent="0.25">
      <c r="A7" s="6" t="s">
        <v>563</v>
      </c>
      <c r="B7" s="6" t="s">
        <v>564</v>
      </c>
      <c r="C7" s="6" t="s">
        <v>565</v>
      </c>
      <c r="D7" s="6" t="s">
        <v>566</v>
      </c>
    </row>
    <row r="8" spans="1:10" ht="25.5" x14ac:dyDescent="0.25">
      <c r="A8" s="7" t="s">
        <v>567</v>
      </c>
      <c r="B8" s="8" t="s">
        <v>1145</v>
      </c>
      <c r="C8" s="8" t="s">
        <v>568</v>
      </c>
      <c r="D8" s="8" t="s">
        <v>569</v>
      </c>
    </row>
    <row r="9" spans="1:10" x14ac:dyDescent="0.25">
      <c r="A9" s="9" t="s">
        <v>570</v>
      </c>
      <c r="B9" s="10" t="s">
        <v>1145</v>
      </c>
      <c r="C9" s="10" t="s">
        <v>568</v>
      </c>
      <c r="D9" s="10" t="s">
        <v>571</v>
      </c>
    </row>
    <row r="10" spans="1:10" ht="25.5" x14ac:dyDescent="0.25">
      <c r="A10" s="7" t="s">
        <v>572</v>
      </c>
      <c r="B10" s="8" t="s">
        <v>1145</v>
      </c>
      <c r="C10" s="8" t="s">
        <v>568</v>
      </c>
      <c r="D10" s="8" t="s">
        <v>573</v>
      </c>
    </row>
    <row r="11" spans="1:10" x14ac:dyDescent="0.25">
      <c r="A11" s="9" t="s">
        <v>574</v>
      </c>
      <c r="B11" s="10" t="s">
        <v>1145</v>
      </c>
      <c r="C11" s="10" t="s">
        <v>568</v>
      </c>
      <c r="D11" s="10" t="s">
        <v>575</v>
      </c>
    </row>
    <row r="12" spans="1:10" x14ac:dyDescent="0.25">
      <c r="A12" s="7" t="s">
        <v>576</v>
      </c>
      <c r="B12" s="8" t="s">
        <v>1143</v>
      </c>
      <c r="C12" s="8" t="s">
        <v>577</v>
      </c>
      <c r="D12" s="8" t="s">
        <v>578</v>
      </c>
    </row>
    <row r="13" spans="1:10" x14ac:dyDescent="0.25">
      <c r="A13" s="9" t="s">
        <v>579</v>
      </c>
      <c r="B13" s="10" t="s">
        <v>1144</v>
      </c>
      <c r="C13" s="10" t="s">
        <v>580</v>
      </c>
      <c r="D13" s="10" t="s">
        <v>581</v>
      </c>
    </row>
    <row r="14" spans="1:10" x14ac:dyDescent="0.25">
      <c r="A14" s="7" t="s">
        <v>582</v>
      </c>
      <c r="B14" s="8" t="s">
        <v>1144</v>
      </c>
      <c r="C14" s="8" t="s">
        <v>583</v>
      </c>
      <c r="D14" s="8" t="s">
        <v>584</v>
      </c>
    </row>
    <row r="17" spans="1:6" ht="15" customHeight="1" x14ac:dyDescent="0.25">
      <c r="A17" s="89" t="s">
        <v>585</v>
      </c>
      <c r="B17" s="89"/>
      <c r="C17" s="89"/>
      <c r="D17" s="89"/>
      <c r="E17" s="89"/>
      <c r="F17" s="89"/>
    </row>
    <row r="18" spans="1:6" ht="15" customHeight="1" x14ac:dyDescent="0.25">
      <c r="A18" s="104" t="s">
        <v>1146</v>
      </c>
      <c r="B18" s="104"/>
      <c r="C18" s="104"/>
      <c r="D18" s="104"/>
      <c r="E18" s="104"/>
      <c r="F18" s="104"/>
    </row>
    <row r="19" spans="1:6" ht="25.5" x14ac:dyDescent="0.25">
      <c r="A19" s="6" t="s">
        <v>586</v>
      </c>
      <c r="B19" s="6" t="s">
        <v>80</v>
      </c>
      <c r="C19" s="6" t="s">
        <v>81</v>
      </c>
      <c r="D19" s="6" t="s">
        <v>83</v>
      </c>
      <c r="E19" s="6" t="s">
        <v>106</v>
      </c>
      <c r="F19" s="6" t="s">
        <v>279</v>
      </c>
    </row>
    <row r="20" spans="1:6" x14ac:dyDescent="0.25">
      <c r="A20" s="7" t="s">
        <v>384</v>
      </c>
      <c r="B20" s="8">
        <v>36344</v>
      </c>
      <c r="C20" s="8">
        <v>13184</v>
      </c>
      <c r="D20" s="8" t="s">
        <v>587</v>
      </c>
      <c r="E20" s="8">
        <v>4.25</v>
      </c>
      <c r="F20" s="8">
        <v>15.5</v>
      </c>
    </row>
    <row r="21" spans="1:6" x14ac:dyDescent="0.25">
      <c r="A21" s="9" t="s">
        <v>588</v>
      </c>
      <c r="B21" s="10">
        <v>13110</v>
      </c>
      <c r="C21" s="10">
        <v>6664</v>
      </c>
      <c r="D21" s="10" t="s">
        <v>589</v>
      </c>
      <c r="E21" s="10">
        <v>4.53</v>
      </c>
      <c r="F21" s="10">
        <v>16.2</v>
      </c>
    </row>
    <row r="22" spans="1:6" x14ac:dyDescent="0.25">
      <c r="A22" s="7" t="s">
        <v>590</v>
      </c>
      <c r="B22" s="8">
        <v>10566</v>
      </c>
      <c r="C22" s="8">
        <v>6281</v>
      </c>
      <c r="D22" s="8" t="s">
        <v>591</v>
      </c>
      <c r="E22" s="8">
        <v>4.6100000000000003</v>
      </c>
      <c r="F22" s="8">
        <v>16.7</v>
      </c>
    </row>
    <row r="23" spans="1:6" x14ac:dyDescent="0.25">
      <c r="A23" s="9" t="s">
        <v>592</v>
      </c>
      <c r="B23" s="10">
        <v>4546</v>
      </c>
      <c r="C23" s="10">
        <v>3058</v>
      </c>
      <c r="D23" s="10" t="s">
        <v>593</v>
      </c>
      <c r="E23" s="10">
        <v>4.55</v>
      </c>
      <c r="F23" s="10">
        <v>17.2</v>
      </c>
    </row>
    <row r="24" spans="1:6" x14ac:dyDescent="0.25">
      <c r="A24" s="7" t="s">
        <v>594</v>
      </c>
      <c r="B24" s="8">
        <v>2021</v>
      </c>
      <c r="C24" s="8">
        <v>1577</v>
      </c>
      <c r="D24" s="8" t="s">
        <v>595</v>
      </c>
      <c r="E24" s="8">
        <v>4.7</v>
      </c>
      <c r="F24" s="8">
        <v>17.8</v>
      </c>
    </row>
    <row r="26" spans="1:6" ht="64.5" customHeight="1" x14ac:dyDescent="0.25">
      <c r="A26" s="90" t="s">
        <v>1147</v>
      </c>
      <c r="B26" s="90"/>
      <c r="C26" s="90"/>
      <c r="D26" s="90"/>
      <c r="E26" s="90"/>
      <c r="F26" s="90"/>
    </row>
  </sheetData>
  <mergeCells count="7">
    <mergeCell ref="A26:F26"/>
    <mergeCell ref="A1:J1"/>
    <mergeCell ref="A2:J2"/>
    <mergeCell ref="A4:G4"/>
    <mergeCell ref="A6:D6"/>
    <mergeCell ref="A17:F17"/>
    <mergeCell ref="A18:F1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E56F-9D18-4E2D-9CB5-93CFF4EB1D56}">
  <dimension ref="A1:H15"/>
  <sheetViews>
    <sheetView workbookViewId="0">
      <selection activeCell="B16" sqref="B16"/>
    </sheetView>
  </sheetViews>
  <sheetFormatPr defaultColWidth="8.7109375" defaultRowHeight="15" x14ac:dyDescent="0.25"/>
  <cols>
    <col min="1" max="1" width="10.7109375" customWidth="1"/>
    <col min="2" max="2" width="22" customWidth="1"/>
    <col min="3" max="3" width="20" customWidth="1"/>
    <col min="4" max="4" width="35" customWidth="1"/>
    <col min="5" max="5" width="28" customWidth="1"/>
    <col min="6" max="6" width="35" customWidth="1"/>
    <col min="7" max="8" width="15" customWidth="1"/>
  </cols>
  <sheetData>
    <row r="1" spans="1:8" ht="36" x14ac:dyDescent="0.25">
      <c r="A1" s="105" t="s">
        <v>612</v>
      </c>
      <c r="B1" s="105"/>
      <c r="C1" s="105"/>
      <c r="D1" s="105"/>
      <c r="E1" s="105"/>
      <c r="F1" s="105"/>
      <c r="G1" s="105"/>
      <c r="H1" s="105"/>
    </row>
    <row r="2" spans="1:8" ht="17.25" x14ac:dyDescent="0.25">
      <c r="A2" s="106" t="s">
        <v>613</v>
      </c>
      <c r="B2" s="106"/>
      <c r="C2" s="106"/>
      <c r="D2" s="106"/>
      <c r="E2" s="106"/>
      <c r="F2" s="106"/>
      <c r="G2" s="106"/>
      <c r="H2" s="106"/>
    </row>
    <row r="3" spans="1:8" x14ac:dyDescent="0.25">
      <c r="A3" s="107"/>
      <c r="B3" s="107"/>
      <c r="C3" s="107"/>
      <c r="D3" s="107"/>
      <c r="E3" s="107"/>
      <c r="F3" s="107"/>
      <c r="G3" s="107"/>
      <c r="H3" s="107"/>
    </row>
    <row r="5" spans="1:8" ht="15.75" x14ac:dyDescent="0.25">
      <c r="A5" s="108" t="s">
        <v>614</v>
      </c>
      <c r="B5" s="108"/>
      <c r="C5" s="108"/>
      <c r="D5" s="108"/>
      <c r="E5" s="108"/>
      <c r="F5" s="108"/>
      <c r="G5" s="108"/>
      <c r="H5" s="108"/>
    </row>
    <row r="6" spans="1:8" x14ac:dyDescent="0.25">
      <c r="A6" s="27" t="s">
        <v>80</v>
      </c>
      <c r="B6" s="27" t="s">
        <v>615</v>
      </c>
      <c r="C6" s="27" t="s">
        <v>3</v>
      </c>
      <c r="D6" s="27" t="s">
        <v>616</v>
      </c>
      <c r="E6" s="27" t="s">
        <v>617</v>
      </c>
      <c r="F6" s="27" t="s">
        <v>618</v>
      </c>
      <c r="G6" s="27" t="s">
        <v>619</v>
      </c>
      <c r="H6" s="27" t="s">
        <v>620</v>
      </c>
    </row>
    <row r="7" spans="1:8" ht="21" x14ac:dyDescent="0.25">
      <c r="A7" s="28" t="s">
        <v>8</v>
      </c>
      <c r="B7" s="28" t="s">
        <v>621</v>
      </c>
      <c r="C7" s="28" t="s">
        <v>9</v>
      </c>
      <c r="D7" s="28" t="s">
        <v>622</v>
      </c>
      <c r="E7" s="28" t="s">
        <v>623</v>
      </c>
      <c r="F7" s="28" t="s">
        <v>624</v>
      </c>
      <c r="G7" s="28" t="s">
        <v>625</v>
      </c>
      <c r="H7" s="29" t="s">
        <v>626</v>
      </c>
    </row>
    <row r="9" spans="1:8" ht="15.75" x14ac:dyDescent="0.25">
      <c r="A9" s="108" t="s">
        <v>627</v>
      </c>
      <c r="B9" s="108"/>
      <c r="C9" s="108"/>
      <c r="D9" s="108"/>
      <c r="E9" s="108"/>
      <c r="F9" s="108"/>
      <c r="G9" s="108"/>
      <c r="H9" s="108"/>
    </row>
    <row r="10" spans="1:8" x14ac:dyDescent="0.25">
      <c r="A10" s="30" t="s">
        <v>15</v>
      </c>
      <c r="B10" s="30" t="s">
        <v>628</v>
      </c>
      <c r="C10" s="30" t="s">
        <v>629</v>
      </c>
      <c r="D10" s="30" t="s">
        <v>630</v>
      </c>
      <c r="E10" s="30" t="s">
        <v>631</v>
      </c>
      <c r="F10" s="30" t="s">
        <v>19</v>
      </c>
    </row>
    <row r="11" spans="1:8" ht="25.5" x14ac:dyDescent="0.25">
      <c r="A11" s="31">
        <v>1</v>
      </c>
      <c r="B11" s="31" t="s">
        <v>1138</v>
      </c>
      <c r="C11" s="31" t="s">
        <v>632</v>
      </c>
      <c r="D11" s="31" t="s">
        <v>633</v>
      </c>
      <c r="E11" s="31" t="s">
        <v>634</v>
      </c>
      <c r="F11" s="31" t="s">
        <v>635</v>
      </c>
    </row>
    <row r="12" spans="1:8" x14ac:dyDescent="0.25">
      <c r="A12" s="32">
        <v>2</v>
      </c>
      <c r="B12" s="32" t="s">
        <v>1139</v>
      </c>
      <c r="C12" s="32" t="s">
        <v>636</v>
      </c>
      <c r="D12" s="32" t="s">
        <v>637</v>
      </c>
      <c r="E12" s="32" t="s">
        <v>638</v>
      </c>
      <c r="F12" s="32" t="s">
        <v>639</v>
      </c>
    </row>
    <row r="13" spans="1:8" ht="25.5" x14ac:dyDescent="0.25">
      <c r="A13" s="31">
        <v>3</v>
      </c>
      <c r="B13" s="31" t="s">
        <v>1140</v>
      </c>
      <c r="C13" s="31" t="s">
        <v>640</v>
      </c>
      <c r="D13" s="31" t="s">
        <v>641</v>
      </c>
      <c r="E13" s="31" t="s">
        <v>642</v>
      </c>
      <c r="F13" s="31" t="s">
        <v>643</v>
      </c>
    </row>
    <row r="14" spans="1:8" ht="25.5" x14ac:dyDescent="0.25">
      <c r="A14" s="32">
        <v>4</v>
      </c>
      <c r="B14" s="32" t="s">
        <v>1141</v>
      </c>
      <c r="C14" s="32" t="s">
        <v>644</v>
      </c>
      <c r="D14" s="32" t="s">
        <v>645</v>
      </c>
      <c r="E14" s="32" t="s">
        <v>646</v>
      </c>
      <c r="F14" s="32" t="s">
        <v>647</v>
      </c>
    </row>
    <row r="15" spans="1:8" ht="25.5" x14ac:dyDescent="0.25">
      <c r="A15" s="31">
        <v>5</v>
      </c>
      <c r="B15" s="31" t="s">
        <v>1142</v>
      </c>
      <c r="C15" s="31" t="s">
        <v>648</v>
      </c>
      <c r="D15" s="31" t="s">
        <v>649</v>
      </c>
      <c r="E15" s="31" t="s">
        <v>650</v>
      </c>
      <c r="F15" s="31" t="s">
        <v>651</v>
      </c>
    </row>
  </sheetData>
  <mergeCells count="5">
    <mergeCell ref="A1:H1"/>
    <mergeCell ref="A2:H2"/>
    <mergeCell ref="A3:H3"/>
    <mergeCell ref="A5:H5"/>
    <mergeCell ref="A9:H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6395-0360-4357-8D24-B2ADFCE1CE62}">
  <dimension ref="A1:L30"/>
  <sheetViews>
    <sheetView topLeftCell="A19" workbookViewId="0">
      <selection activeCell="M30" sqref="M30"/>
    </sheetView>
  </sheetViews>
  <sheetFormatPr defaultColWidth="8.7109375" defaultRowHeight="15" x14ac:dyDescent="0.25"/>
  <cols>
    <col min="1" max="1" width="6" customWidth="1"/>
    <col min="2" max="2" width="19.7109375" bestFit="1" customWidth="1"/>
    <col min="3" max="3" width="14" bestFit="1" customWidth="1"/>
    <col min="4" max="4" width="13.140625" bestFit="1" customWidth="1"/>
    <col min="5" max="5" width="13.42578125" bestFit="1" customWidth="1"/>
    <col min="6" max="6" width="15.7109375" bestFit="1" customWidth="1"/>
    <col min="7" max="7" width="35" customWidth="1"/>
    <col min="8" max="8" width="32.7109375" bestFit="1" customWidth="1"/>
    <col min="9" max="12" width="5" customWidth="1"/>
  </cols>
  <sheetData>
    <row r="1" spans="1:12" ht="26.25" x14ac:dyDescent="0.25">
      <c r="A1" s="109" t="s">
        <v>797</v>
      </c>
      <c r="B1" s="109"/>
      <c r="C1" s="109"/>
      <c r="D1" s="109"/>
      <c r="E1" s="109"/>
      <c r="F1" s="109"/>
      <c r="G1" s="109"/>
      <c r="H1" s="109"/>
      <c r="I1" s="109"/>
      <c r="J1" s="109"/>
      <c r="K1" s="109"/>
      <c r="L1" s="109"/>
    </row>
    <row r="2" spans="1:12" x14ac:dyDescent="0.25">
      <c r="A2" s="110" t="s">
        <v>652</v>
      </c>
      <c r="B2" s="110"/>
      <c r="C2" s="110"/>
      <c r="D2" s="110"/>
      <c r="E2" s="110"/>
      <c r="F2" s="110"/>
      <c r="G2" s="110"/>
      <c r="H2" s="110"/>
      <c r="I2" s="110"/>
      <c r="J2" s="110"/>
      <c r="K2" s="110"/>
      <c r="L2" s="110"/>
    </row>
    <row r="4" spans="1:12" ht="18" thickBot="1" x14ac:dyDescent="0.3">
      <c r="A4" s="111" t="s">
        <v>653</v>
      </c>
      <c r="B4" s="111"/>
      <c r="C4" s="111"/>
      <c r="D4" s="111"/>
      <c r="E4" s="111"/>
      <c r="F4" s="111"/>
      <c r="G4" s="111"/>
      <c r="H4" s="111"/>
    </row>
    <row r="5" spans="1:12" ht="30" x14ac:dyDescent="0.25">
      <c r="A5" s="30" t="s">
        <v>137</v>
      </c>
      <c r="B5" s="30" t="s">
        <v>654</v>
      </c>
      <c r="C5" s="30"/>
      <c r="D5" s="30" t="s">
        <v>655</v>
      </c>
      <c r="E5" s="30"/>
      <c r="F5" s="30" t="s">
        <v>656</v>
      </c>
      <c r="G5" s="30"/>
      <c r="H5" s="30" t="s">
        <v>139</v>
      </c>
    </row>
    <row r="6" spans="1:12" ht="25.5" x14ac:dyDescent="0.25">
      <c r="A6" s="31" t="s">
        <v>657</v>
      </c>
      <c r="B6" s="33">
        <v>0.61630875506832905</v>
      </c>
      <c r="C6" s="31"/>
      <c r="D6" s="33">
        <v>0.61968764078690497</v>
      </c>
      <c r="E6" s="31"/>
      <c r="F6" s="31" t="s">
        <v>655</v>
      </c>
      <c r="G6" s="31"/>
      <c r="H6" s="31" t="s">
        <v>658</v>
      </c>
    </row>
    <row r="7" spans="1:12" ht="38.25" x14ac:dyDescent="0.25">
      <c r="A7" s="32" t="s">
        <v>659</v>
      </c>
      <c r="B7" s="34">
        <v>0.65157444725040803</v>
      </c>
      <c r="C7" s="32"/>
      <c r="D7" s="34">
        <v>0.65000799568993195</v>
      </c>
      <c r="E7" s="32"/>
      <c r="F7" s="32" t="s">
        <v>660</v>
      </c>
      <c r="G7" s="32"/>
      <c r="H7" s="32" t="s">
        <v>661</v>
      </c>
    </row>
    <row r="8" spans="1:12" ht="127.5" x14ac:dyDescent="0.25">
      <c r="A8" s="31" t="s">
        <v>662</v>
      </c>
      <c r="B8" s="35">
        <v>2375</v>
      </c>
      <c r="C8" s="31"/>
      <c r="D8" s="35">
        <v>3078</v>
      </c>
      <c r="E8" s="31"/>
      <c r="F8" s="31" t="s">
        <v>655</v>
      </c>
      <c r="G8" s="31"/>
      <c r="H8" s="31" t="s">
        <v>663</v>
      </c>
    </row>
    <row r="9" spans="1:12" ht="102" x14ac:dyDescent="0.25">
      <c r="A9" s="32" t="s">
        <v>664</v>
      </c>
      <c r="B9" s="36">
        <v>3748</v>
      </c>
      <c r="C9" s="32"/>
      <c r="D9" s="36">
        <v>3045</v>
      </c>
      <c r="E9" s="32"/>
      <c r="F9" s="32" t="s">
        <v>655</v>
      </c>
      <c r="G9" s="32"/>
      <c r="H9" s="32" t="s">
        <v>665</v>
      </c>
    </row>
    <row r="10" spans="1:12" ht="127.5" x14ac:dyDescent="0.25">
      <c r="A10" s="31" t="s">
        <v>666</v>
      </c>
      <c r="B10" s="35">
        <v>5833</v>
      </c>
      <c r="C10" s="31"/>
      <c r="D10" s="35">
        <v>5175</v>
      </c>
      <c r="E10" s="31"/>
      <c r="F10" s="31" t="s">
        <v>660</v>
      </c>
      <c r="G10" s="31"/>
      <c r="H10" s="31" t="s">
        <v>667</v>
      </c>
    </row>
    <row r="11" spans="1:12" ht="114.75" x14ac:dyDescent="0.25">
      <c r="A11" s="32" t="s">
        <v>668</v>
      </c>
      <c r="B11" s="36">
        <v>1362</v>
      </c>
      <c r="C11" s="32"/>
      <c r="D11" s="36">
        <v>2020</v>
      </c>
      <c r="E11" s="32"/>
      <c r="F11" s="32" t="s">
        <v>660</v>
      </c>
      <c r="G11" s="32"/>
      <c r="H11" s="32" t="s">
        <v>669</v>
      </c>
    </row>
    <row r="12" spans="1:12" ht="38.25" x14ac:dyDescent="0.25">
      <c r="A12" s="31" t="s">
        <v>670</v>
      </c>
      <c r="B12" s="35">
        <v>53269</v>
      </c>
      <c r="C12" s="31"/>
      <c r="D12" s="35">
        <v>53269</v>
      </c>
      <c r="E12" s="31"/>
      <c r="F12" s="31" t="s">
        <v>671</v>
      </c>
      <c r="G12" s="31"/>
      <c r="H12" s="31" t="s">
        <v>672</v>
      </c>
    </row>
    <row r="13" spans="1:12" ht="38.25" x14ac:dyDescent="0.25">
      <c r="A13" s="32" t="s">
        <v>673</v>
      </c>
      <c r="B13" s="36">
        <v>13318</v>
      </c>
      <c r="C13" s="32"/>
      <c r="D13" s="36">
        <v>13318</v>
      </c>
      <c r="E13" s="32"/>
      <c r="F13" s="32" t="s">
        <v>671</v>
      </c>
      <c r="G13" s="32"/>
      <c r="H13" s="32" t="s">
        <v>674</v>
      </c>
    </row>
    <row r="16" spans="1:12" ht="18" thickBot="1" x14ac:dyDescent="0.3">
      <c r="A16" s="111" t="s">
        <v>675</v>
      </c>
      <c r="B16" s="111"/>
      <c r="C16" s="111"/>
      <c r="D16" s="111"/>
      <c r="E16" s="111"/>
      <c r="F16" s="111"/>
      <c r="G16" s="111"/>
      <c r="H16" s="111"/>
    </row>
    <row r="17" spans="1:8" x14ac:dyDescent="0.25">
      <c r="A17" s="30" t="s">
        <v>107</v>
      </c>
      <c r="B17" s="30" t="s">
        <v>676</v>
      </c>
      <c r="C17" s="30" t="s">
        <v>677</v>
      </c>
      <c r="D17" s="30" t="s">
        <v>678</v>
      </c>
      <c r="E17" s="30" t="s">
        <v>679</v>
      </c>
      <c r="F17" s="30" t="s">
        <v>680</v>
      </c>
      <c r="G17" s="30" t="s">
        <v>681</v>
      </c>
      <c r="H17" s="30" t="s">
        <v>682</v>
      </c>
    </row>
    <row r="18" spans="1:8" ht="25.5" x14ac:dyDescent="0.25">
      <c r="A18" s="37">
        <v>1</v>
      </c>
      <c r="B18" s="37" t="s">
        <v>383</v>
      </c>
      <c r="C18" s="38">
        <v>0.70106742971246905</v>
      </c>
      <c r="D18" s="37" t="s">
        <v>683</v>
      </c>
      <c r="E18" s="39">
        <v>0.37098316151525401</v>
      </c>
      <c r="F18" s="37" t="s">
        <v>684</v>
      </c>
      <c r="G18" s="37" t="s">
        <v>685</v>
      </c>
      <c r="H18" s="37" t="s">
        <v>686</v>
      </c>
    </row>
    <row r="19" spans="1:8" x14ac:dyDescent="0.25">
      <c r="A19" s="37">
        <v>2</v>
      </c>
      <c r="B19" s="37" t="s">
        <v>687</v>
      </c>
      <c r="C19" s="38">
        <v>8.3406434197336204E-2</v>
      </c>
      <c r="D19" s="37" t="s">
        <v>683</v>
      </c>
      <c r="E19" s="39">
        <v>7.2980785305884296E-2</v>
      </c>
      <c r="F19" s="37" t="s">
        <v>684</v>
      </c>
      <c r="G19" s="37" t="s">
        <v>688</v>
      </c>
      <c r="H19" s="37" t="s">
        <v>689</v>
      </c>
    </row>
    <row r="20" spans="1:8" x14ac:dyDescent="0.25">
      <c r="A20" s="40">
        <v>3</v>
      </c>
      <c r="B20" s="40" t="s">
        <v>690</v>
      </c>
      <c r="C20" s="41">
        <v>4.7789407815195903E-2</v>
      </c>
      <c r="D20" s="40" t="s">
        <v>691</v>
      </c>
      <c r="E20" s="42">
        <v>0.21957345042205001</v>
      </c>
      <c r="F20" s="40" t="s">
        <v>684</v>
      </c>
      <c r="G20" s="40" t="s">
        <v>692</v>
      </c>
      <c r="H20" s="40" t="s">
        <v>693</v>
      </c>
    </row>
    <row r="21" spans="1:8" x14ac:dyDescent="0.25">
      <c r="A21" s="40">
        <v>4</v>
      </c>
      <c r="B21" s="40" t="s">
        <v>270</v>
      </c>
      <c r="C21" s="41">
        <v>4.2077734144000997E-2</v>
      </c>
      <c r="D21" s="40" t="s">
        <v>691</v>
      </c>
      <c r="E21" s="42">
        <v>8.1239924215458503E-2</v>
      </c>
      <c r="F21" s="40" t="s">
        <v>684</v>
      </c>
      <c r="G21" s="40" t="s">
        <v>694</v>
      </c>
      <c r="H21" s="40" t="s">
        <v>695</v>
      </c>
    </row>
    <row r="22" spans="1:8" x14ac:dyDescent="0.25">
      <c r="A22" s="43">
        <v>5</v>
      </c>
      <c r="B22" s="43" t="s">
        <v>696</v>
      </c>
      <c r="C22" s="44">
        <v>3.9601694649572403E-2</v>
      </c>
      <c r="D22" s="43" t="s">
        <v>697</v>
      </c>
      <c r="E22" s="45">
        <v>1.49296403592332E-2</v>
      </c>
      <c r="F22" s="43" t="s">
        <v>684</v>
      </c>
      <c r="G22" s="43" t="s">
        <v>698</v>
      </c>
      <c r="H22" s="43" t="s">
        <v>699</v>
      </c>
    </row>
    <row r="23" spans="1:8" x14ac:dyDescent="0.25">
      <c r="A23" s="43">
        <v>6</v>
      </c>
      <c r="B23" s="43" t="s">
        <v>700</v>
      </c>
      <c r="C23" s="44">
        <v>3.2566712354951503E-2</v>
      </c>
      <c r="D23" s="43" t="s">
        <v>697</v>
      </c>
      <c r="E23" s="45">
        <v>0.26422444622542801</v>
      </c>
      <c r="F23" s="43" t="s">
        <v>684</v>
      </c>
      <c r="G23" s="43" t="s">
        <v>701</v>
      </c>
      <c r="H23" s="43" t="s">
        <v>702</v>
      </c>
    </row>
    <row r="24" spans="1:8" x14ac:dyDescent="0.25">
      <c r="A24" s="43">
        <v>7</v>
      </c>
      <c r="B24" s="43" t="s">
        <v>582</v>
      </c>
      <c r="C24" s="44">
        <v>1.6705907973136501E-2</v>
      </c>
      <c r="D24" s="43" t="s">
        <v>697</v>
      </c>
      <c r="E24" s="45">
        <v>2.4777130012027899E-3</v>
      </c>
      <c r="F24" s="43" t="s">
        <v>684</v>
      </c>
      <c r="G24" s="43" t="s">
        <v>703</v>
      </c>
      <c r="H24" s="43" t="s">
        <v>704</v>
      </c>
    </row>
    <row r="25" spans="1:8" x14ac:dyDescent="0.25">
      <c r="A25" s="43">
        <v>8</v>
      </c>
      <c r="B25" s="43" t="s">
        <v>705</v>
      </c>
      <c r="C25" s="44">
        <v>1.4698937030586799E-2</v>
      </c>
      <c r="D25" s="43" t="s">
        <v>697</v>
      </c>
      <c r="E25" s="45">
        <v>1.38098585377234E-2</v>
      </c>
      <c r="F25" s="43" t="s">
        <v>684</v>
      </c>
      <c r="G25" s="43" t="s">
        <v>706</v>
      </c>
      <c r="H25" s="43" t="s">
        <v>707</v>
      </c>
    </row>
    <row r="26" spans="1:8" x14ac:dyDescent="0.25">
      <c r="A26" s="46">
        <v>9</v>
      </c>
      <c r="B26" s="46" t="s">
        <v>708</v>
      </c>
      <c r="C26" s="47">
        <v>1.2190212730193399E-2</v>
      </c>
      <c r="D26" s="46" t="s">
        <v>709</v>
      </c>
      <c r="E26" s="48">
        <v>1.3385683770383301E-3</v>
      </c>
      <c r="F26" s="46" t="s">
        <v>684</v>
      </c>
      <c r="G26" s="46" t="s">
        <v>710</v>
      </c>
      <c r="H26" s="46" t="s">
        <v>711</v>
      </c>
    </row>
    <row r="27" spans="1:8" x14ac:dyDescent="0.25">
      <c r="A27" s="46">
        <v>10</v>
      </c>
      <c r="B27" s="46" t="s">
        <v>712</v>
      </c>
      <c r="C27" s="47">
        <v>8.5877611182549694E-3</v>
      </c>
      <c r="D27" s="46" t="s">
        <v>709</v>
      </c>
      <c r="E27" s="48">
        <v>-4.48157995864365E-2</v>
      </c>
      <c r="F27" s="46" t="s">
        <v>713</v>
      </c>
      <c r="G27" s="46" t="s">
        <v>714</v>
      </c>
      <c r="H27" s="46" t="s">
        <v>715</v>
      </c>
    </row>
    <row r="28" spans="1:8" x14ac:dyDescent="0.25">
      <c r="A28" s="46">
        <v>11</v>
      </c>
      <c r="B28" s="46" t="s">
        <v>716</v>
      </c>
      <c r="C28" s="47">
        <v>1.3077682743023299E-3</v>
      </c>
      <c r="D28" s="46" t="s">
        <v>709</v>
      </c>
      <c r="E28" s="48">
        <v>3.8142150219921102E-2</v>
      </c>
      <c r="F28" s="46" t="s">
        <v>684</v>
      </c>
      <c r="G28" s="46" t="s">
        <v>717</v>
      </c>
      <c r="H28" s="46" t="s">
        <v>718</v>
      </c>
    </row>
    <row r="29" spans="1:8" x14ac:dyDescent="0.25">
      <c r="A29" s="46">
        <v>12</v>
      </c>
      <c r="B29" s="46" t="s">
        <v>208</v>
      </c>
      <c r="C29" s="47">
        <v>0</v>
      </c>
      <c r="D29" s="46" t="s">
        <v>719</v>
      </c>
      <c r="E29" s="48">
        <v>-3.3593120782159001E-2</v>
      </c>
      <c r="F29" s="46" t="s">
        <v>713</v>
      </c>
      <c r="G29" s="46" t="s">
        <v>720</v>
      </c>
      <c r="H29" s="46" t="s">
        <v>721</v>
      </c>
    </row>
    <row r="30" spans="1:8" x14ac:dyDescent="0.25">
      <c r="A30" s="46">
        <v>13</v>
      </c>
      <c r="B30" s="46" t="s">
        <v>722</v>
      </c>
      <c r="C30" s="47">
        <v>0</v>
      </c>
      <c r="D30" s="46" t="s">
        <v>719</v>
      </c>
      <c r="E30" s="48">
        <v>-1.77311236943474E-3</v>
      </c>
      <c r="F30" s="46" t="s">
        <v>713</v>
      </c>
      <c r="G30" s="46" t="s">
        <v>723</v>
      </c>
      <c r="H30" s="46" t="s">
        <v>724</v>
      </c>
    </row>
  </sheetData>
  <mergeCells count="4">
    <mergeCell ref="A1:L1"/>
    <mergeCell ref="A2:L2"/>
    <mergeCell ref="A4:H4"/>
    <mergeCell ref="A16:H1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89B61-8D3B-40EB-9E59-E69809942C5B}">
  <dimension ref="A1:M17"/>
  <sheetViews>
    <sheetView zoomScale="70" zoomScaleNormal="70" workbookViewId="0">
      <selection activeCell="O10" sqref="O10"/>
    </sheetView>
  </sheetViews>
  <sheetFormatPr defaultColWidth="8.7109375" defaultRowHeight="15" x14ac:dyDescent="0.25"/>
  <cols>
    <col min="1" max="1" width="15.42578125" bestFit="1" customWidth="1"/>
    <col min="2" max="2" width="23" bestFit="1" customWidth="1"/>
    <col min="3" max="4" width="14" customWidth="1"/>
    <col min="5" max="5" width="12.85546875" bestFit="1" customWidth="1"/>
    <col min="6" max="6" width="11.5703125" bestFit="1" customWidth="1"/>
    <col min="7" max="7" width="14" customWidth="1"/>
    <col min="8" max="8" width="13.140625" bestFit="1" customWidth="1"/>
    <col min="9" max="9" width="13.42578125" bestFit="1" customWidth="1"/>
    <col min="10" max="10" width="14" customWidth="1"/>
    <col min="11" max="11" width="13.42578125" bestFit="1" customWidth="1"/>
    <col min="12" max="12" width="34" bestFit="1" customWidth="1"/>
    <col min="13" max="13" width="5" customWidth="1"/>
  </cols>
  <sheetData>
    <row r="1" spans="1:13" ht="26.25" x14ac:dyDescent="0.25">
      <c r="A1" s="109" t="s">
        <v>796</v>
      </c>
      <c r="B1" s="109"/>
      <c r="C1" s="109"/>
      <c r="D1" s="109"/>
      <c r="E1" s="109"/>
      <c r="F1" s="109"/>
      <c r="G1" s="109"/>
      <c r="H1" s="109"/>
      <c r="I1" s="109"/>
      <c r="J1" s="109"/>
      <c r="K1" s="109"/>
      <c r="L1" s="109"/>
      <c r="M1" s="109"/>
    </row>
    <row r="2" spans="1:13" x14ac:dyDescent="0.25">
      <c r="A2" s="110" t="s">
        <v>725</v>
      </c>
      <c r="B2" s="110"/>
      <c r="C2" s="110"/>
      <c r="D2" s="110"/>
      <c r="E2" s="110"/>
      <c r="F2" s="110"/>
      <c r="G2" s="110"/>
      <c r="H2" s="110"/>
      <c r="I2" s="110"/>
      <c r="J2" s="110"/>
      <c r="K2" s="110"/>
      <c r="L2" s="110"/>
      <c r="M2" s="110"/>
    </row>
    <row r="4" spans="1:13" ht="18" thickBot="1" x14ac:dyDescent="0.3">
      <c r="A4" s="111" t="s">
        <v>726</v>
      </c>
      <c r="B4" s="111"/>
      <c r="C4" s="111"/>
      <c r="D4" s="111"/>
      <c r="E4" s="111"/>
      <c r="F4" s="111"/>
      <c r="G4" s="111"/>
      <c r="H4" s="111"/>
      <c r="I4" s="111"/>
      <c r="J4" s="111"/>
      <c r="K4" s="111"/>
      <c r="L4" s="111"/>
    </row>
    <row r="5" spans="1:13" ht="30" x14ac:dyDescent="0.25">
      <c r="A5" s="30" t="s">
        <v>727</v>
      </c>
      <c r="B5" s="30" t="s">
        <v>728</v>
      </c>
      <c r="C5" s="30" t="s">
        <v>216</v>
      </c>
      <c r="D5" s="30" t="s">
        <v>729</v>
      </c>
      <c r="E5" s="30" t="s">
        <v>730</v>
      </c>
      <c r="F5" s="30" t="s">
        <v>731</v>
      </c>
      <c r="G5" s="30" t="s">
        <v>732</v>
      </c>
      <c r="H5" s="30" t="s">
        <v>279</v>
      </c>
      <c r="I5" s="30" t="s">
        <v>733</v>
      </c>
      <c r="J5" s="30" t="s">
        <v>366</v>
      </c>
      <c r="K5" s="30" t="s">
        <v>734</v>
      </c>
      <c r="L5" s="30" t="s">
        <v>735</v>
      </c>
    </row>
    <row r="6" spans="1:13" ht="25.5" x14ac:dyDescent="0.25">
      <c r="A6" s="37" t="s">
        <v>1130</v>
      </c>
      <c r="B6" s="37" t="s">
        <v>736</v>
      </c>
      <c r="C6" s="37">
        <v>4482</v>
      </c>
      <c r="D6" s="38">
        <v>0.748</v>
      </c>
      <c r="E6" s="49">
        <v>3.5720000000000001</v>
      </c>
      <c r="F6" s="49">
        <v>1.5609999999999999</v>
      </c>
      <c r="G6" s="49">
        <v>4.4800000000000004</v>
      </c>
      <c r="H6" s="49">
        <v>17.227</v>
      </c>
      <c r="I6" s="37">
        <v>45.054000000000002</v>
      </c>
      <c r="J6" s="37">
        <v>8.1460000000000008</v>
      </c>
      <c r="K6" s="38">
        <v>6.7310435970985294E-2</v>
      </c>
      <c r="L6" s="37" t="s">
        <v>737</v>
      </c>
    </row>
    <row r="7" spans="1:13" ht="25.5" x14ac:dyDescent="0.25">
      <c r="A7" s="40" t="s">
        <v>1131</v>
      </c>
      <c r="B7" s="40" t="s">
        <v>739</v>
      </c>
      <c r="C7" s="40">
        <v>14134</v>
      </c>
      <c r="D7" s="41">
        <v>0.47499999999999998</v>
      </c>
      <c r="E7" s="50">
        <v>0.53200000000000003</v>
      </c>
      <c r="F7" s="50">
        <v>0.106</v>
      </c>
      <c r="G7" s="50">
        <v>8.048</v>
      </c>
      <c r="H7" s="50">
        <v>25.244</v>
      </c>
      <c r="I7" s="40">
        <v>56.692</v>
      </c>
      <c r="J7" s="40">
        <v>8.2539999999999996</v>
      </c>
      <c r="K7" s="41">
        <v>0.21226365506780601</v>
      </c>
      <c r="L7" s="40" t="s">
        <v>740</v>
      </c>
    </row>
    <row r="8" spans="1:13" ht="25.5" x14ac:dyDescent="0.25">
      <c r="A8" s="43" t="s">
        <v>1132</v>
      </c>
      <c r="B8" s="43" t="s">
        <v>742</v>
      </c>
      <c r="C8" s="43">
        <v>28872</v>
      </c>
      <c r="D8" s="44">
        <v>0.47199999999999998</v>
      </c>
      <c r="E8" s="51">
        <v>0.45700000000000002</v>
      </c>
      <c r="F8" s="51">
        <v>0.11700000000000001</v>
      </c>
      <c r="G8" s="51">
        <v>3.5190000000000001</v>
      </c>
      <c r="H8" s="51">
        <v>14.148999999999999</v>
      </c>
      <c r="I8" s="43">
        <v>40.468000000000004</v>
      </c>
      <c r="J8" s="43">
        <v>8.5640000000000001</v>
      </c>
      <c r="K8" s="44">
        <v>0.43359814978899802</v>
      </c>
      <c r="L8" s="43" t="s">
        <v>743</v>
      </c>
    </row>
    <row r="9" spans="1:13" ht="25.5" x14ac:dyDescent="0.25">
      <c r="A9" s="46" t="s">
        <v>1133</v>
      </c>
      <c r="B9" s="46" t="s">
        <v>745</v>
      </c>
      <c r="C9" s="46">
        <v>19099</v>
      </c>
      <c r="D9" s="47">
        <v>0.371</v>
      </c>
      <c r="E9" s="52">
        <v>0.3</v>
      </c>
      <c r="F9" s="52">
        <v>7.5999999999999998E-2</v>
      </c>
      <c r="G9" s="52">
        <v>3.004</v>
      </c>
      <c r="H9" s="52">
        <v>11.77</v>
      </c>
      <c r="I9" s="46">
        <v>36.616</v>
      </c>
      <c r="J9" s="46">
        <v>4.92</v>
      </c>
      <c r="K9" s="47">
        <v>0.28682775917221098</v>
      </c>
      <c r="L9" s="46" t="s">
        <v>746</v>
      </c>
    </row>
    <row r="12" spans="1:13" ht="18" thickBot="1" x14ac:dyDescent="0.3">
      <c r="A12" s="111" t="s">
        <v>747</v>
      </c>
      <c r="B12" s="111"/>
      <c r="C12" s="111"/>
      <c r="D12" s="111"/>
      <c r="E12" s="111"/>
      <c r="F12" s="111"/>
      <c r="G12" s="111"/>
      <c r="H12" s="111"/>
      <c r="I12" s="111"/>
      <c r="J12" s="111"/>
      <c r="K12" s="111"/>
      <c r="L12" s="111"/>
    </row>
    <row r="13" spans="1:13" ht="60" x14ac:dyDescent="0.25">
      <c r="A13" s="30" t="s">
        <v>748</v>
      </c>
      <c r="B13" s="30" t="s">
        <v>749</v>
      </c>
      <c r="C13" s="30" t="s">
        <v>750</v>
      </c>
      <c r="D13" s="30" t="s">
        <v>751</v>
      </c>
      <c r="E13" s="30" t="s">
        <v>752</v>
      </c>
      <c r="F13" s="30" t="s">
        <v>753</v>
      </c>
      <c r="G13" s="30" t="s">
        <v>754</v>
      </c>
      <c r="H13" s="30" t="s">
        <v>755</v>
      </c>
      <c r="I13" s="30" t="s">
        <v>756</v>
      </c>
      <c r="J13" s="30" t="s">
        <v>757</v>
      </c>
      <c r="K13" s="30" t="s">
        <v>758</v>
      </c>
      <c r="L13" s="30" t="s">
        <v>759</v>
      </c>
    </row>
    <row r="14" spans="1:13" ht="63.75" x14ac:dyDescent="0.25">
      <c r="A14" s="37" t="s">
        <v>1130</v>
      </c>
      <c r="B14" s="37" t="s">
        <v>760</v>
      </c>
      <c r="C14" s="37" t="s">
        <v>761</v>
      </c>
      <c r="D14" s="37" t="s">
        <v>762</v>
      </c>
      <c r="E14" s="37">
        <f>C6+E6+F6</f>
        <v>4487.1329999999998</v>
      </c>
      <c r="F14" s="37" t="s">
        <v>763</v>
      </c>
      <c r="G14" s="37" t="s">
        <v>1137</v>
      </c>
      <c r="H14" s="37" t="s">
        <v>764</v>
      </c>
      <c r="I14" s="37" t="s">
        <v>765</v>
      </c>
      <c r="J14" s="37" t="s">
        <v>766</v>
      </c>
      <c r="K14" s="37" t="s">
        <v>767</v>
      </c>
      <c r="L14" s="37" t="s">
        <v>768</v>
      </c>
    </row>
    <row r="15" spans="1:13" ht="63.75" x14ac:dyDescent="0.25">
      <c r="A15" s="40" t="s">
        <v>738</v>
      </c>
      <c r="B15" s="40" t="s">
        <v>769</v>
      </c>
      <c r="C15" s="40" t="s">
        <v>770</v>
      </c>
      <c r="D15" s="40" t="s">
        <v>771</v>
      </c>
      <c r="E15" s="40">
        <f>C7+E7+F7</f>
        <v>14134.637999999999</v>
      </c>
      <c r="F15" s="40" t="s">
        <v>772</v>
      </c>
      <c r="G15" s="40" t="s">
        <v>1136</v>
      </c>
      <c r="H15" s="40" t="s">
        <v>773</v>
      </c>
      <c r="I15" s="40" t="s">
        <v>774</v>
      </c>
      <c r="J15" s="40" t="s">
        <v>775</v>
      </c>
      <c r="K15" s="40" t="s">
        <v>776</v>
      </c>
      <c r="L15" s="40" t="s">
        <v>777</v>
      </c>
    </row>
    <row r="16" spans="1:13" ht="63.75" x14ac:dyDescent="0.25">
      <c r="A16" s="43" t="s">
        <v>741</v>
      </c>
      <c r="B16" s="43" t="s">
        <v>778</v>
      </c>
      <c r="C16" s="43" t="s">
        <v>779</v>
      </c>
      <c r="D16" s="43" t="s">
        <v>780</v>
      </c>
      <c r="E16" s="43">
        <f>C8+E8+F8</f>
        <v>28872.573999999997</v>
      </c>
      <c r="F16" s="43" t="s">
        <v>781</v>
      </c>
      <c r="G16" s="43" t="s">
        <v>1134</v>
      </c>
      <c r="H16" s="43" t="s">
        <v>782</v>
      </c>
      <c r="I16" s="43" t="s">
        <v>783</v>
      </c>
      <c r="J16" s="43" t="s">
        <v>784</v>
      </c>
      <c r="K16" s="43" t="s">
        <v>785</v>
      </c>
      <c r="L16" s="43" t="s">
        <v>786</v>
      </c>
    </row>
    <row r="17" spans="1:12" ht="51" x14ac:dyDescent="0.25">
      <c r="A17" s="46" t="s">
        <v>744</v>
      </c>
      <c r="B17" s="46" t="s">
        <v>787</v>
      </c>
      <c r="C17" s="46" t="s">
        <v>788</v>
      </c>
      <c r="D17" s="46" t="s">
        <v>789</v>
      </c>
      <c r="E17" s="46">
        <f>C9+E9+F9</f>
        <v>19099.376</v>
      </c>
      <c r="F17" s="46" t="s">
        <v>790</v>
      </c>
      <c r="G17" s="46" t="s">
        <v>1135</v>
      </c>
      <c r="H17" s="46" t="s">
        <v>791</v>
      </c>
      <c r="I17" s="46" t="s">
        <v>792</v>
      </c>
      <c r="J17" s="46" t="s">
        <v>793</v>
      </c>
      <c r="K17" s="46" t="s">
        <v>794</v>
      </c>
      <c r="L17" s="46" t="s">
        <v>795</v>
      </c>
    </row>
  </sheetData>
  <mergeCells count="4">
    <mergeCell ref="A1:M1"/>
    <mergeCell ref="A2:M2"/>
    <mergeCell ref="A4:L4"/>
    <mergeCell ref="A12:L12"/>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56C7-04AF-4235-BC6C-FEAB14C4F372}">
  <dimension ref="A1:J47"/>
  <sheetViews>
    <sheetView workbookViewId="0">
      <selection activeCell="I7" sqref="I7"/>
    </sheetView>
  </sheetViews>
  <sheetFormatPr defaultColWidth="8.7109375" defaultRowHeight="15" x14ac:dyDescent="0.25"/>
  <cols>
    <col min="1" max="1" width="26" bestFit="1" customWidth="1"/>
    <col min="2" max="2" width="19.28515625" bestFit="1" customWidth="1"/>
    <col min="3" max="3" width="12.28515625" bestFit="1" customWidth="1"/>
    <col min="4" max="4" width="18" customWidth="1"/>
    <col min="5" max="5" width="30" customWidth="1"/>
  </cols>
  <sheetData>
    <row r="1" spans="1:10" ht="26.25" x14ac:dyDescent="0.25">
      <c r="A1" s="109" t="s">
        <v>857</v>
      </c>
      <c r="B1" s="109"/>
      <c r="C1" s="109"/>
      <c r="D1" s="109"/>
      <c r="E1" s="109"/>
      <c r="F1" s="109"/>
      <c r="G1" s="109"/>
      <c r="H1" s="109"/>
      <c r="I1" s="109"/>
      <c r="J1" s="109"/>
    </row>
    <row r="2" spans="1:10" x14ac:dyDescent="0.25">
      <c r="A2" s="110" t="s">
        <v>798</v>
      </c>
      <c r="B2" s="110"/>
      <c r="C2" s="110"/>
      <c r="D2" s="110"/>
      <c r="E2" s="110"/>
      <c r="F2" s="110"/>
      <c r="G2" s="110"/>
      <c r="H2" s="110"/>
      <c r="I2" s="110"/>
      <c r="J2" s="110"/>
    </row>
    <row r="4" spans="1:10" ht="18" thickBot="1" x14ac:dyDescent="0.3">
      <c r="A4" s="112" t="s">
        <v>799</v>
      </c>
      <c r="B4" s="112"/>
      <c r="C4" s="112"/>
      <c r="D4" s="112"/>
      <c r="E4" s="112"/>
    </row>
    <row r="5" spans="1:10" x14ac:dyDescent="0.25">
      <c r="A5" s="30" t="s">
        <v>800</v>
      </c>
      <c r="B5" s="30" t="s">
        <v>138</v>
      </c>
      <c r="C5" s="30" t="s">
        <v>801</v>
      </c>
      <c r="D5" s="30" t="s">
        <v>802</v>
      </c>
      <c r="E5" s="30" t="s">
        <v>803</v>
      </c>
    </row>
    <row r="6" spans="1:10" ht="25.5" x14ac:dyDescent="0.25">
      <c r="A6" s="53" t="s">
        <v>804</v>
      </c>
      <c r="B6" s="54">
        <v>15000</v>
      </c>
      <c r="C6" s="53" t="s">
        <v>805</v>
      </c>
      <c r="D6" s="53" t="s">
        <v>806</v>
      </c>
      <c r="E6" s="53" t="s">
        <v>807</v>
      </c>
    </row>
    <row r="7" spans="1:10" x14ac:dyDescent="0.25">
      <c r="A7" s="32" t="s">
        <v>808</v>
      </c>
      <c r="B7" s="54">
        <v>10000</v>
      </c>
      <c r="C7" s="32" t="s">
        <v>805</v>
      </c>
      <c r="D7" s="32" t="s">
        <v>809</v>
      </c>
      <c r="E7" s="32" t="s">
        <v>810</v>
      </c>
    </row>
    <row r="8" spans="1:10" ht="25.5" x14ac:dyDescent="0.25">
      <c r="A8" s="53" t="s">
        <v>811</v>
      </c>
      <c r="B8" s="55">
        <v>0.27</v>
      </c>
      <c r="C8" s="53" t="s">
        <v>812</v>
      </c>
      <c r="D8" s="53" t="s">
        <v>813</v>
      </c>
      <c r="E8" s="53" t="s">
        <v>814</v>
      </c>
    </row>
    <row r="9" spans="1:10" ht="25.5" x14ac:dyDescent="0.25">
      <c r="A9" s="32" t="s">
        <v>815</v>
      </c>
      <c r="B9" s="54">
        <v>500</v>
      </c>
      <c r="C9" s="32" t="s">
        <v>805</v>
      </c>
      <c r="D9" s="32" t="s">
        <v>816</v>
      </c>
      <c r="E9" s="32" t="s">
        <v>817</v>
      </c>
    </row>
    <row r="10" spans="1:10" ht="38.25" x14ac:dyDescent="0.25">
      <c r="A10" s="53" t="s">
        <v>818</v>
      </c>
      <c r="B10" s="55">
        <v>0.01</v>
      </c>
      <c r="C10" s="53" t="s">
        <v>812</v>
      </c>
      <c r="D10" s="53" t="s">
        <v>819</v>
      </c>
      <c r="E10" s="53" t="s">
        <v>820</v>
      </c>
    </row>
    <row r="11" spans="1:10" x14ac:dyDescent="0.25">
      <c r="A11" s="32" t="s">
        <v>821</v>
      </c>
      <c r="B11" s="54">
        <v>200000000</v>
      </c>
      <c r="C11" s="32" t="s">
        <v>805</v>
      </c>
      <c r="D11" s="32" t="s">
        <v>816</v>
      </c>
      <c r="E11" s="32" t="s">
        <v>822</v>
      </c>
    </row>
    <row r="14" spans="1:10" ht="18" thickBot="1" x14ac:dyDescent="0.3">
      <c r="A14" s="111" t="s">
        <v>823</v>
      </c>
      <c r="B14" s="111"/>
      <c r="C14" s="111"/>
      <c r="D14" s="111"/>
      <c r="E14" s="111"/>
    </row>
    <row r="15" spans="1:10" x14ac:dyDescent="0.25">
      <c r="A15" s="30" t="s">
        <v>137</v>
      </c>
      <c r="B15" s="30" t="s">
        <v>824</v>
      </c>
      <c r="C15" s="30" t="s">
        <v>138</v>
      </c>
      <c r="D15" s="30" t="s">
        <v>734</v>
      </c>
      <c r="E15" s="30" t="s">
        <v>139</v>
      </c>
    </row>
    <row r="16" spans="1:10" x14ac:dyDescent="0.25">
      <c r="A16" s="31" t="s">
        <v>825</v>
      </c>
      <c r="B16" s="31" t="s">
        <v>826</v>
      </c>
      <c r="C16" s="56">
        <v>66587</v>
      </c>
      <c r="D16" s="33" t="s">
        <v>827</v>
      </c>
      <c r="E16" s="31" t="s">
        <v>828</v>
      </c>
    </row>
    <row r="17" spans="1:5" x14ac:dyDescent="0.25">
      <c r="A17" s="32" t="s">
        <v>829</v>
      </c>
      <c r="B17" s="32" t="s">
        <v>830</v>
      </c>
      <c r="C17" s="57">
        <v>30764</v>
      </c>
      <c r="D17" s="34">
        <f>C17/C16</f>
        <v>0.46201210446483548</v>
      </c>
      <c r="E17" s="32" t="s">
        <v>831</v>
      </c>
    </row>
    <row r="18" spans="1:5" x14ac:dyDescent="0.25">
      <c r="A18" s="31" t="s">
        <v>82</v>
      </c>
      <c r="B18" s="56">
        <f>C16-C17</f>
        <v>35823</v>
      </c>
      <c r="C18" s="56">
        <f>C16-C17</f>
        <v>35823</v>
      </c>
      <c r="D18" s="33">
        <f>C18/C16</f>
        <v>0.53798789553516457</v>
      </c>
      <c r="E18" s="31" t="s">
        <v>832</v>
      </c>
    </row>
    <row r="19" spans="1:5" ht="25.5" x14ac:dyDescent="0.25">
      <c r="A19" s="32" t="s">
        <v>4</v>
      </c>
      <c r="B19" s="32">
        <f>C17/C16</f>
        <v>0.46201210446483548</v>
      </c>
      <c r="C19" s="34">
        <f>C17/C16</f>
        <v>0.46201210446483548</v>
      </c>
      <c r="D19" s="34" t="s">
        <v>671</v>
      </c>
      <c r="E19" s="32" t="s">
        <v>833</v>
      </c>
    </row>
    <row r="21" spans="1:5" x14ac:dyDescent="0.25">
      <c r="A21" s="37" t="s">
        <v>834</v>
      </c>
      <c r="B21" s="58">
        <f>C17*B6</f>
        <v>461460000</v>
      </c>
      <c r="C21" s="58">
        <f>C17*B6</f>
        <v>461460000</v>
      </c>
      <c r="D21" s="38" t="s">
        <v>827</v>
      </c>
      <c r="E21" s="37" t="s">
        <v>835</v>
      </c>
    </row>
    <row r="22" spans="1:5" x14ac:dyDescent="0.25">
      <c r="A22" s="31" t="s">
        <v>836</v>
      </c>
      <c r="B22" s="56">
        <f>C17*B8</f>
        <v>8306.2800000000007</v>
      </c>
      <c r="C22" s="56">
        <f>ROUND(C17*B8,0)</f>
        <v>8306</v>
      </c>
      <c r="D22" s="33">
        <f>B8</f>
        <v>0.27</v>
      </c>
      <c r="E22" s="31" t="s">
        <v>837</v>
      </c>
    </row>
    <row r="23" spans="1:5" x14ac:dyDescent="0.25">
      <c r="A23" s="37" t="s">
        <v>838</v>
      </c>
      <c r="B23" s="58">
        <f>C22*B6</f>
        <v>124590000</v>
      </c>
      <c r="C23" s="58">
        <f>C22*B6</f>
        <v>124590000</v>
      </c>
      <c r="D23" s="38">
        <f>C23/C21</f>
        <v>0.26999089845273694</v>
      </c>
      <c r="E23" s="37" t="s">
        <v>839</v>
      </c>
    </row>
    <row r="24" spans="1:5" x14ac:dyDescent="0.25">
      <c r="A24" s="31" t="s">
        <v>840</v>
      </c>
      <c r="B24" s="56">
        <f>C17-C22</f>
        <v>22458</v>
      </c>
      <c r="C24" s="56">
        <f>C17-C22</f>
        <v>22458</v>
      </c>
      <c r="D24" s="33">
        <f>1-B8</f>
        <v>0.73</v>
      </c>
      <c r="E24" s="31" t="s">
        <v>841</v>
      </c>
    </row>
    <row r="25" spans="1:5" x14ac:dyDescent="0.25">
      <c r="A25" s="37" t="s">
        <v>842</v>
      </c>
      <c r="B25" s="58">
        <f>C24*B6</f>
        <v>336870000</v>
      </c>
      <c r="C25" s="58">
        <f>C24*B6</f>
        <v>336870000</v>
      </c>
      <c r="D25" s="38">
        <f>C25/C21</f>
        <v>0.73000910154726306</v>
      </c>
      <c r="E25" s="37" t="s">
        <v>843</v>
      </c>
    </row>
    <row r="26" spans="1:5" x14ac:dyDescent="0.25">
      <c r="C26" s="59"/>
      <c r="D26" s="60"/>
    </row>
    <row r="27" spans="1:5" x14ac:dyDescent="0.25">
      <c r="A27" s="37" t="s">
        <v>844</v>
      </c>
      <c r="B27" s="58">
        <f>C22*B9</f>
        <v>4153000</v>
      </c>
      <c r="C27" s="37">
        <f>C22*B9</f>
        <v>4153000</v>
      </c>
      <c r="D27" s="37">
        <f>C27/C21</f>
        <v>8.9996966150912329E-3</v>
      </c>
      <c r="E27" s="37" t="s">
        <v>845</v>
      </c>
    </row>
    <row r="28" spans="1:5" ht="25.5" x14ac:dyDescent="0.25">
      <c r="A28" s="61" t="s">
        <v>846</v>
      </c>
      <c r="B28" s="61">
        <f>C23-C27</f>
        <v>120437000</v>
      </c>
      <c r="C28" s="62">
        <f>C23-C27</f>
        <v>120437000</v>
      </c>
      <c r="D28" s="63">
        <f>C28/C21</f>
        <v>0.26099120183764574</v>
      </c>
      <c r="E28" s="61" t="s">
        <v>847</v>
      </c>
    </row>
    <row r="29" spans="1:5" ht="25.5" x14ac:dyDescent="0.25">
      <c r="A29" s="61" t="s">
        <v>848</v>
      </c>
      <c r="B29" s="64">
        <f>(C23-C27)/C27</f>
        <v>29</v>
      </c>
      <c r="C29" s="64">
        <f>(C23-C27)/C27</f>
        <v>29</v>
      </c>
      <c r="D29" s="63" t="s">
        <v>671</v>
      </c>
      <c r="E29" s="61" t="s">
        <v>849</v>
      </c>
    </row>
    <row r="30" spans="1:5" x14ac:dyDescent="0.25">
      <c r="C30" s="60"/>
      <c r="D30" s="60"/>
    </row>
    <row r="31" spans="1:5" ht="25.5" x14ac:dyDescent="0.25">
      <c r="A31" s="37" t="s">
        <v>850</v>
      </c>
      <c r="B31" s="58">
        <f>B11*B10</f>
        <v>2000000</v>
      </c>
      <c r="C31" s="58">
        <f>B11*B10</f>
        <v>2000000</v>
      </c>
      <c r="D31" s="37" t="s">
        <v>671</v>
      </c>
      <c r="E31" s="37" t="s">
        <v>851</v>
      </c>
    </row>
    <row r="32" spans="1:5" ht="25.5" x14ac:dyDescent="0.25">
      <c r="A32" s="31" t="s">
        <v>852</v>
      </c>
      <c r="B32" s="56">
        <f>C21+C31</f>
        <v>463460000</v>
      </c>
      <c r="C32" s="56">
        <f>C21+C31</f>
        <v>463460000</v>
      </c>
      <c r="D32" s="33" t="s">
        <v>671</v>
      </c>
      <c r="E32" s="31" t="s">
        <v>853</v>
      </c>
    </row>
    <row r="33" spans="1:5" x14ac:dyDescent="0.25">
      <c r="C33" s="59"/>
      <c r="D33" s="60"/>
    </row>
    <row r="36" spans="1:5" ht="18" thickBot="1" x14ac:dyDescent="0.3">
      <c r="A36" s="111" t="s">
        <v>854</v>
      </c>
      <c r="B36" s="111"/>
      <c r="C36" s="111"/>
      <c r="D36" s="111"/>
      <c r="E36" s="111"/>
    </row>
    <row r="37" spans="1:5" x14ac:dyDescent="0.25">
      <c r="A37" s="30" t="s">
        <v>105</v>
      </c>
      <c r="B37" s="30" t="s">
        <v>80</v>
      </c>
      <c r="C37" s="30" t="s">
        <v>81</v>
      </c>
      <c r="D37" s="30" t="s">
        <v>729</v>
      </c>
      <c r="E37" s="30" t="s">
        <v>855</v>
      </c>
    </row>
    <row r="38" spans="1:5" x14ac:dyDescent="0.25">
      <c r="A38" s="40" t="s">
        <v>219</v>
      </c>
      <c r="B38" s="40">
        <v>32672</v>
      </c>
      <c r="C38" s="40">
        <v>15673</v>
      </c>
      <c r="D38" s="41">
        <v>0.47970739471106799</v>
      </c>
      <c r="E38" s="65">
        <v>235095000</v>
      </c>
    </row>
    <row r="39" spans="1:5" x14ac:dyDescent="0.25">
      <c r="A39" s="40" t="s">
        <v>532</v>
      </c>
      <c r="B39" s="40">
        <v>9460</v>
      </c>
      <c r="C39" s="40">
        <v>4183</v>
      </c>
      <c r="D39" s="41">
        <v>0.442177589852008</v>
      </c>
      <c r="E39" s="65">
        <v>62745000</v>
      </c>
    </row>
    <row r="40" spans="1:5" x14ac:dyDescent="0.25">
      <c r="A40" s="37" t="s">
        <v>528</v>
      </c>
      <c r="B40" s="37">
        <v>4986</v>
      </c>
      <c r="C40" s="37">
        <v>2503</v>
      </c>
      <c r="D40" s="38">
        <v>0.50200561572402702</v>
      </c>
      <c r="E40" s="58">
        <v>37545000</v>
      </c>
    </row>
    <row r="41" spans="1:5" x14ac:dyDescent="0.25">
      <c r="A41" s="40" t="s">
        <v>530</v>
      </c>
      <c r="B41" s="40">
        <v>4924</v>
      </c>
      <c r="C41" s="40">
        <v>2363</v>
      </c>
      <c r="D41" s="41">
        <v>0.47989439480097501</v>
      </c>
      <c r="E41" s="65">
        <v>35445000</v>
      </c>
    </row>
    <row r="42" spans="1:5" x14ac:dyDescent="0.25">
      <c r="A42" s="40" t="s">
        <v>538</v>
      </c>
      <c r="B42" s="40">
        <v>3434</v>
      </c>
      <c r="C42" s="40">
        <v>1489</v>
      </c>
      <c r="D42" s="41">
        <v>0.433605125218404</v>
      </c>
      <c r="E42" s="65">
        <v>22335000</v>
      </c>
    </row>
    <row r="43" spans="1:5" x14ac:dyDescent="0.25">
      <c r="A43" s="40" t="s">
        <v>536</v>
      </c>
      <c r="B43" s="40">
        <v>2067</v>
      </c>
      <c r="C43" s="40">
        <v>898</v>
      </c>
      <c r="D43" s="41">
        <v>0.43444605708756701</v>
      </c>
      <c r="E43" s="65">
        <v>13470000</v>
      </c>
    </row>
    <row r="44" spans="1:5" x14ac:dyDescent="0.25">
      <c r="A44" s="37" t="s">
        <v>526</v>
      </c>
      <c r="B44" s="37">
        <v>1098</v>
      </c>
      <c r="C44" s="37">
        <v>605</v>
      </c>
      <c r="D44" s="38">
        <v>0.55100182149362498</v>
      </c>
      <c r="E44" s="58">
        <v>9075000</v>
      </c>
    </row>
    <row r="45" spans="1:5" x14ac:dyDescent="0.25">
      <c r="A45" s="40" t="s">
        <v>534</v>
      </c>
      <c r="B45" s="40">
        <v>767</v>
      </c>
      <c r="C45" s="40">
        <v>339</v>
      </c>
      <c r="D45" s="41">
        <v>0.44198174706649301</v>
      </c>
      <c r="E45" s="65">
        <v>5085000</v>
      </c>
    </row>
    <row r="46" spans="1:5" x14ac:dyDescent="0.25">
      <c r="A46" s="46" t="s">
        <v>541</v>
      </c>
      <c r="B46" s="46">
        <v>912</v>
      </c>
      <c r="C46" s="46">
        <v>305</v>
      </c>
      <c r="D46" s="47">
        <v>0.33442982456140402</v>
      </c>
      <c r="E46" s="66">
        <v>4575000</v>
      </c>
    </row>
    <row r="47" spans="1:5" x14ac:dyDescent="0.25">
      <c r="A47" s="40" t="s">
        <v>856</v>
      </c>
      <c r="B47" s="40">
        <v>564</v>
      </c>
      <c r="C47" s="40">
        <v>275</v>
      </c>
      <c r="D47" s="41">
        <v>0.48758865248227001</v>
      </c>
      <c r="E47" s="65">
        <v>4125000</v>
      </c>
    </row>
  </sheetData>
  <mergeCells count="5">
    <mergeCell ref="A1:J1"/>
    <mergeCell ref="A2:J2"/>
    <mergeCell ref="A4:E4"/>
    <mergeCell ref="A14:E14"/>
    <mergeCell ref="A36:E3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D44FE-4E56-46F3-A389-25C98E99E224}">
  <dimension ref="A1:K29"/>
  <sheetViews>
    <sheetView topLeftCell="A2" workbookViewId="0">
      <selection activeCell="J9" sqref="J9"/>
    </sheetView>
  </sheetViews>
  <sheetFormatPr defaultColWidth="8.7109375" defaultRowHeight="15" x14ac:dyDescent="0.25"/>
  <cols>
    <col min="1" max="1" width="14.28515625" bestFit="1" customWidth="1"/>
    <col min="2" max="2" width="13.42578125" bestFit="1" customWidth="1"/>
    <col min="3" max="3" width="16" customWidth="1"/>
    <col min="4" max="4" width="12.85546875" bestFit="1" customWidth="1"/>
    <col min="5" max="5" width="14" bestFit="1" customWidth="1"/>
    <col min="6" max="6" width="11.7109375" bestFit="1" customWidth="1"/>
    <col min="7" max="7" width="12" bestFit="1" customWidth="1"/>
    <col min="8" max="8" width="11.140625" bestFit="1" customWidth="1"/>
    <col min="9" max="9" width="11.85546875" bestFit="1" customWidth="1"/>
    <col min="10" max="10" width="36.140625" bestFit="1" customWidth="1"/>
  </cols>
  <sheetData>
    <row r="1" spans="1:11" ht="26.25" x14ac:dyDescent="0.25">
      <c r="A1" s="109" t="s">
        <v>1126</v>
      </c>
      <c r="B1" s="109"/>
      <c r="C1" s="109"/>
      <c r="D1" s="109"/>
      <c r="E1" s="109"/>
      <c r="F1" s="109"/>
      <c r="G1" s="109"/>
      <c r="H1" s="109"/>
      <c r="I1" s="109"/>
      <c r="J1" s="109"/>
      <c r="K1" s="109"/>
    </row>
    <row r="2" spans="1:11" x14ac:dyDescent="0.25">
      <c r="A2" s="110" t="s">
        <v>858</v>
      </c>
      <c r="B2" s="110"/>
      <c r="C2" s="110"/>
      <c r="D2" s="110"/>
      <c r="E2" s="110"/>
      <c r="F2" s="110"/>
      <c r="G2" s="110"/>
      <c r="H2" s="110"/>
      <c r="I2" s="110"/>
      <c r="J2" s="110"/>
      <c r="K2" s="110"/>
    </row>
    <row r="4" spans="1:11" ht="18" thickBot="1" x14ac:dyDescent="0.3">
      <c r="A4" s="111" t="s">
        <v>859</v>
      </c>
      <c r="B4" s="111"/>
      <c r="C4" s="111"/>
      <c r="D4" s="111"/>
      <c r="E4" s="111"/>
      <c r="F4" s="111"/>
      <c r="G4" s="111"/>
      <c r="H4" s="111"/>
      <c r="I4" s="111"/>
      <c r="J4" s="111"/>
    </row>
    <row r="5" spans="1:11" ht="45" x14ac:dyDescent="0.25">
      <c r="A5" s="30" t="s">
        <v>860</v>
      </c>
      <c r="B5" s="30" t="s">
        <v>80</v>
      </c>
      <c r="C5" s="30" t="s">
        <v>81</v>
      </c>
      <c r="D5" s="30" t="s">
        <v>729</v>
      </c>
      <c r="E5" s="30" t="s">
        <v>861</v>
      </c>
      <c r="F5" s="30" t="s">
        <v>862</v>
      </c>
      <c r="G5" s="30" t="s">
        <v>279</v>
      </c>
      <c r="H5" s="30" t="s">
        <v>863</v>
      </c>
      <c r="I5" s="30" t="s">
        <v>864</v>
      </c>
      <c r="J5" s="30" t="s">
        <v>865</v>
      </c>
    </row>
    <row r="6" spans="1:11" ht="25.5" x14ac:dyDescent="0.25">
      <c r="A6" s="46" t="s">
        <v>199</v>
      </c>
      <c r="B6" s="46">
        <v>12406</v>
      </c>
      <c r="C6" s="46">
        <v>5703</v>
      </c>
      <c r="D6" s="47">
        <v>0.459696920844753</v>
      </c>
      <c r="E6" s="67">
        <v>-2.3151836200829301E-3</v>
      </c>
      <c r="F6" s="68">
        <v>0.25971304207641499</v>
      </c>
      <c r="G6" s="46">
        <v>15.3902144123811</v>
      </c>
      <c r="H6" s="52">
        <v>4.4965339351926499</v>
      </c>
      <c r="I6" s="46" t="s">
        <v>1149</v>
      </c>
      <c r="J6" s="46" t="s">
        <v>866</v>
      </c>
    </row>
    <row r="7" spans="1:11" ht="25.5" x14ac:dyDescent="0.25">
      <c r="A7" s="46" t="s">
        <v>205</v>
      </c>
      <c r="B7" s="46">
        <v>408</v>
      </c>
      <c r="C7" s="46">
        <v>160</v>
      </c>
      <c r="D7" s="47">
        <v>0.39215686274509798</v>
      </c>
      <c r="E7" s="67">
        <v>-6.9855241719737504E-2</v>
      </c>
      <c r="F7" s="68">
        <v>0.10294117647058799</v>
      </c>
      <c r="G7" s="46">
        <v>13.1838235294118</v>
      </c>
      <c r="H7" s="52">
        <v>3.9191176470588198</v>
      </c>
      <c r="I7" s="46" t="s">
        <v>1149</v>
      </c>
      <c r="J7" s="46" t="s">
        <v>867</v>
      </c>
    </row>
    <row r="8" spans="1:11" ht="25.5" x14ac:dyDescent="0.25">
      <c r="A8" s="40" t="s">
        <v>197</v>
      </c>
      <c r="B8" s="40">
        <v>49906</v>
      </c>
      <c r="C8" s="40">
        <v>23477</v>
      </c>
      <c r="D8" s="41">
        <v>0.47042439786799201</v>
      </c>
      <c r="E8" s="69">
        <v>8.4122934031563602E-3</v>
      </c>
      <c r="F8" s="70">
        <v>0.18957640363884101</v>
      </c>
      <c r="G8" s="40">
        <v>16.277080912114801</v>
      </c>
      <c r="H8" s="50">
        <v>4.3872279886185996</v>
      </c>
      <c r="I8" s="40" t="s">
        <v>1150</v>
      </c>
      <c r="J8" s="40" t="s">
        <v>1151</v>
      </c>
    </row>
    <row r="9" spans="1:11" ht="25.5" x14ac:dyDescent="0.25">
      <c r="A9" s="46" t="s">
        <v>201</v>
      </c>
      <c r="B9" s="46">
        <v>1313</v>
      </c>
      <c r="C9" s="46">
        <v>535</v>
      </c>
      <c r="D9" s="47">
        <v>0.40746382330540798</v>
      </c>
      <c r="E9" s="67">
        <v>-5.4548281159428003E-2</v>
      </c>
      <c r="F9" s="68">
        <v>0.230769230769231</v>
      </c>
      <c r="G9" s="46">
        <v>14.0548362528561</v>
      </c>
      <c r="H9" s="52">
        <v>3.9725818735719698</v>
      </c>
      <c r="I9" s="46" t="s">
        <v>1149</v>
      </c>
      <c r="J9" s="46" t="s">
        <v>868</v>
      </c>
    </row>
    <row r="10" spans="1:11" ht="25.5" x14ac:dyDescent="0.25">
      <c r="A10" s="46" t="s">
        <v>203</v>
      </c>
      <c r="B10" s="46">
        <v>1050</v>
      </c>
      <c r="C10" s="46">
        <v>422</v>
      </c>
      <c r="D10" s="47">
        <v>0.40190476190476199</v>
      </c>
      <c r="E10" s="67">
        <v>-6.01073425600736E-2</v>
      </c>
      <c r="F10" s="68">
        <v>0.23904761904761901</v>
      </c>
      <c r="G10" s="46">
        <v>15.3190476190476</v>
      </c>
      <c r="H10" s="52">
        <v>4.3923809523809503</v>
      </c>
      <c r="I10" s="46" t="s">
        <v>1149</v>
      </c>
      <c r="J10" s="46" t="s">
        <v>869</v>
      </c>
    </row>
    <row r="14" spans="1:11" ht="18" thickBot="1" x14ac:dyDescent="0.3">
      <c r="A14" s="111" t="s">
        <v>870</v>
      </c>
      <c r="B14" s="111"/>
      <c r="C14" s="111"/>
      <c r="D14" s="111"/>
      <c r="E14" s="111"/>
      <c r="F14" s="111"/>
      <c r="G14" s="111"/>
      <c r="H14" s="111"/>
      <c r="I14" s="111"/>
      <c r="J14" s="111"/>
    </row>
    <row r="15" spans="1:11" ht="30" x14ac:dyDescent="0.25">
      <c r="A15" s="30" t="s">
        <v>79</v>
      </c>
      <c r="B15" s="30" t="s">
        <v>871</v>
      </c>
      <c r="C15" s="30" t="s">
        <v>872</v>
      </c>
      <c r="D15" s="30" t="s">
        <v>873</v>
      </c>
      <c r="E15" s="30" t="s">
        <v>874</v>
      </c>
      <c r="F15" s="30" t="s">
        <v>875</v>
      </c>
      <c r="G15" s="30" t="s">
        <v>876</v>
      </c>
      <c r="H15" s="30" t="s">
        <v>861</v>
      </c>
      <c r="I15" s="30" t="s">
        <v>877</v>
      </c>
      <c r="J15" s="30" t="s">
        <v>878</v>
      </c>
    </row>
    <row r="16" spans="1:11" ht="25.5" x14ac:dyDescent="0.25">
      <c r="A16" s="46" t="s">
        <v>84</v>
      </c>
      <c r="B16" s="46">
        <v>44</v>
      </c>
      <c r="C16" s="47">
        <v>0.27272727272727298</v>
      </c>
      <c r="D16" s="46">
        <v>56</v>
      </c>
      <c r="E16" s="47">
        <v>0.17857142857142899</v>
      </c>
      <c r="F16" s="67">
        <v>9.4155844155844104E-2</v>
      </c>
      <c r="G16" s="47">
        <v>0.22</v>
      </c>
      <c r="H16" s="67">
        <v>-0.24201210446483601</v>
      </c>
      <c r="I16" s="46" t="s">
        <v>879</v>
      </c>
      <c r="J16" s="46" t="s">
        <v>880</v>
      </c>
    </row>
    <row r="17" spans="1:10" ht="25.5" x14ac:dyDescent="0.25">
      <c r="A17" s="46" t="s">
        <v>86</v>
      </c>
      <c r="B17" s="46">
        <v>255</v>
      </c>
      <c r="C17" s="47">
        <v>0.48627450980392201</v>
      </c>
      <c r="D17" s="46">
        <v>173</v>
      </c>
      <c r="E17" s="47">
        <v>0.31213872832369899</v>
      </c>
      <c r="F17" s="67">
        <v>0.17413578148022199</v>
      </c>
      <c r="G17" s="47">
        <v>0.41588785046728999</v>
      </c>
      <c r="H17" s="67">
        <v>-4.61242539975458E-2</v>
      </c>
      <c r="I17" s="46" t="s">
        <v>879</v>
      </c>
      <c r="J17" s="46" t="s">
        <v>881</v>
      </c>
    </row>
    <row r="18" spans="1:10" x14ac:dyDescent="0.25">
      <c r="A18" s="46" t="s">
        <v>88</v>
      </c>
      <c r="B18" s="46">
        <v>763</v>
      </c>
      <c r="C18" s="47">
        <v>0.47313237221494098</v>
      </c>
      <c r="D18" s="46">
        <v>391</v>
      </c>
      <c r="E18" s="47">
        <v>0.406649616368286</v>
      </c>
      <c r="F18" s="67">
        <v>6.6482755846654598E-2</v>
      </c>
      <c r="G18" s="47">
        <v>0.450606585788562</v>
      </c>
      <c r="H18" s="67">
        <v>-1.1405518676274E-2</v>
      </c>
      <c r="I18" s="46" t="s">
        <v>879</v>
      </c>
      <c r="J18" s="46" t="s">
        <v>882</v>
      </c>
    </row>
    <row r="19" spans="1:10" ht="25.5" x14ac:dyDescent="0.25">
      <c r="A19" s="46" t="s">
        <v>90</v>
      </c>
      <c r="B19" s="46">
        <v>1378</v>
      </c>
      <c r="C19" s="47">
        <v>0.39695210449927398</v>
      </c>
      <c r="D19" s="46">
        <v>1036</v>
      </c>
      <c r="E19" s="47">
        <v>0.45270270270270302</v>
      </c>
      <c r="F19" s="67">
        <v>-5.5750598203428398E-2</v>
      </c>
      <c r="G19" s="47">
        <v>0.420878210439105</v>
      </c>
      <c r="H19" s="67">
        <v>-4.1133894025730297E-2</v>
      </c>
      <c r="I19" s="46" t="s">
        <v>883</v>
      </c>
      <c r="J19" s="46" t="s">
        <v>884</v>
      </c>
    </row>
    <row r="20" spans="1:10" ht="25.5" x14ac:dyDescent="0.25">
      <c r="A20" s="46" t="s">
        <v>92</v>
      </c>
      <c r="B20" s="46">
        <v>3225</v>
      </c>
      <c r="C20" s="47">
        <v>0.46356589147286797</v>
      </c>
      <c r="D20" s="46">
        <v>3099</v>
      </c>
      <c r="E20" s="47">
        <v>0.42562116811874801</v>
      </c>
      <c r="F20" s="67">
        <v>3.7944723354120198E-2</v>
      </c>
      <c r="G20" s="47">
        <v>0.44497153700189801</v>
      </c>
      <c r="H20" s="67">
        <v>-1.7040567462938E-2</v>
      </c>
      <c r="I20" s="46" t="s">
        <v>879</v>
      </c>
      <c r="J20" s="46" t="s">
        <v>885</v>
      </c>
    </row>
    <row r="21" spans="1:10" ht="25.5" x14ac:dyDescent="0.25">
      <c r="A21" s="46" t="s">
        <v>94</v>
      </c>
      <c r="B21" s="46">
        <v>5681</v>
      </c>
      <c r="C21" s="47">
        <v>0.46857947544446399</v>
      </c>
      <c r="D21" s="46">
        <v>5697</v>
      </c>
      <c r="E21" s="47">
        <v>0.433034930665262</v>
      </c>
      <c r="F21" s="67">
        <v>3.5544544779201603E-2</v>
      </c>
      <c r="G21" s="47">
        <v>0.45078221128493601</v>
      </c>
      <c r="H21" s="67">
        <v>-1.12298931798996E-2</v>
      </c>
      <c r="I21" s="46" t="s">
        <v>879</v>
      </c>
      <c r="J21" s="46" t="s">
        <v>886</v>
      </c>
    </row>
    <row r="22" spans="1:10" ht="25.5" x14ac:dyDescent="0.25">
      <c r="A22" s="40" t="s">
        <v>96</v>
      </c>
      <c r="B22" s="40">
        <v>7341</v>
      </c>
      <c r="C22" s="41">
        <v>0.46751123825092</v>
      </c>
      <c r="D22" s="40">
        <v>7503</v>
      </c>
      <c r="E22" s="41">
        <v>0.45688391310142601</v>
      </c>
      <c r="F22" s="69">
        <v>1.06273251494934E-2</v>
      </c>
      <c r="G22" s="41">
        <v>0.46210845402492401</v>
      </c>
      <c r="H22" s="69">
        <v>9.6349560088748704E-5</v>
      </c>
      <c r="I22" s="40" t="s">
        <v>879</v>
      </c>
      <c r="J22" s="40" t="s">
        <v>887</v>
      </c>
    </row>
    <row r="23" spans="1:10" ht="25.5" x14ac:dyDescent="0.25">
      <c r="A23" s="40" t="s">
        <v>97</v>
      </c>
      <c r="B23" s="40">
        <v>9137</v>
      </c>
      <c r="C23" s="41">
        <v>0.47958848637408302</v>
      </c>
      <c r="D23" s="40">
        <v>7893</v>
      </c>
      <c r="E23" s="41">
        <v>0.48105916634993001</v>
      </c>
      <c r="F23" s="69">
        <v>-1.4706799758469301E-3</v>
      </c>
      <c r="G23" s="41">
        <v>0.48024191180788001</v>
      </c>
      <c r="H23" s="69">
        <v>1.8229807343044298E-2</v>
      </c>
      <c r="I23" s="40" t="s">
        <v>883</v>
      </c>
      <c r="J23" s="40" t="s">
        <v>888</v>
      </c>
    </row>
    <row r="24" spans="1:10" ht="25.5" x14ac:dyDescent="0.25">
      <c r="A24" s="40" t="s">
        <v>99</v>
      </c>
      <c r="B24" s="40">
        <v>6806</v>
      </c>
      <c r="C24" s="41">
        <v>0.48662944460769902</v>
      </c>
      <c r="D24" s="40">
        <v>4274</v>
      </c>
      <c r="E24" s="41">
        <v>0.47660271408516602</v>
      </c>
      <c r="F24" s="69">
        <v>1.0026730522533001E-2</v>
      </c>
      <c r="G24" s="41">
        <v>0.48276173285198598</v>
      </c>
      <c r="H24" s="69">
        <v>2.0749628387150099E-2</v>
      </c>
      <c r="I24" s="40" t="s">
        <v>879</v>
      </c>
      <c r="J24" s="40" t="s">
        <v>889</v>
      </c>
    </row>
    <row r="25" spans="1:10" ht="25.5" x14ac:dyDescent="0.25">
      <c r="A25" s="46" t="s">
        <v>101</v>
      </c>
      <c r="B25" s="46">
        <v>1343</v>
      </c>
      <c r="C25" s="47">
        <v>0.392405063291139</v>
      </c>
      <c r="D25" s="46">
        <v>490</v>
      </c>
      <c r="E25" s="47">
        <v>0.34693877551020402</v>
      </c>
      <c r="F25" s="67">
        <v>4.5466287780935102E-2</v>
      </c>
      <c r="G25" s="47">
        <v>0.38025095471904002</v>
      </c>
      <c r="H25" s="67">
        <v>-8.1761149745795694E-2</v>
      </c>
      <c r="I25" s="46" t="s">
        <v>879</v>
      </c>
      <c r="J25" s="46" t="s">
        <v>890</v>
      </c>
    </row>
    <row r="28" spans="1:10" ht="18" thickBot="1" x14ac:dyDescent="0.3">
      <c r="A28" s="111" t="s">
        <v>891</v>
      </c>
      <c r="B28" s="111"/>
      <c r="C28" s="111"/>
      <c r="D28" s="111"/>
      <c r="E28" s="111"/>
      <c r="F28" s="111"/>
      <c r="G28" s="111"/>
      <c r="H28" s="111"/>
      <c r="I28" s="111"/>
      <c r="J28" s="111"/>
    </row>
    <row r="29" spans="1:10" x14ac:dyDescent="0.25">
      <c r="A29" s="113" t="s">
        <v>892</v>
      </c>
      <c r="B29" s="113"/>
      <c r="C29" s="113"/>
      <c r="D29" s="113"/>
      <c r="E29" s="113"/>
      <c r="F29" s="113"/>
      <c r="G29" s="113"/>
      <c r="H29" s="113"/>
      <c r="I29" s="113"/>
      <c r="J29" s="113"/>
    </row>
  </sheetData>
  <mergeCells count="6">
    <mergeCell ref="A29:J29"/>
    <mergeCell ref="A1:K1"/>
    <mergeCell ref="A2:K2"/>
    <mergeCell ref="A4:J4"/>
    <mergeCell ref="A14:J14"/>
    <mergeCell ref="A28:J2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ADD5-98C6-42C3-AD01-C731EA3AF03C}">
  <dimension ref="A1:L43"/>
  <sheetViews>
    <sheetView tabSelected="1" zoomScale="91" zoomScaleNormal="91" workbookViewId="0">
      <selection activeCell="D7" sqref="D7"/>
    </sheetView>
  </sheetViews>
  <sheetFormatPr defaultColWidth="8.7109375" defaultRowHeight="15" x14ac:dyDescent="0.25"/>
  <cols>
    <col min="1" max="1" width="23.85546875" bestFit="1" customWidth="1"/>
    <col min="2" max="2" width="34.42578125" bestFit="1" customWidth="1"/>
    <col min="3" max="3" width="29.7109375" bestFit="1" customWidth="1"/>
    <col min="4" max="4" width="52.7109375" bestFit="1" customWidth="1"/>
    <col min="5" max="5" width="37.7109375" bestFit="1" customWidth="1"/>
    <col min="6" max="6" width="32.5703125" bestFit="1" customWidth="1"/>
    <col min="7" max="7" width="20.140625" bestFit="1" customWidth="1"/>
    <col min="8" max="8" width="24.5703125" bestFit="1" customWidth="1"/>
    <col min="9" max="9" width="24.85546875" bestFit="1" customWidth="1"/>
    <col min="10" max="10" width="45" bestFit="1" customWidth="1"/>
    <col min="11" max="11" width="35" bestFit="1" customWidth="1"/>
    <col min="12" max="12" width="5" customWidth="1"/>
  </cols>
  <sheetData>
    <row r="1" spans="1:12" ht="26.25" x14ac:dyDescent="0.25">
      <c r="A1" s="109" t="s">
        <v>1125</v>
      </c>
      <c r="B1" s="109"/>
      <c r="C1" s="109"/>
      <c r="D1" s="109"/>
      <c r="E1" s="109"/>
      <c r="F1" s="109"/>
      <c r="G1" s="109"/>
      <c r="H1" s="109"/>
      <c r="I1" s="109"/>
      <c r="J1" s="109"/>
      <c r="K1" s="109"/>
      <c r="L1" s="109"/>
    </row>
    <row r="2" spans="1:12" x14ac:dyDescent="0.25">
      <c r="A2" s="110" t="s">
        <v>893</v>
      </c>
      <c r="B2" s="110"/>
      <c r="C2" s="110"/>
      <c r="D2" s="110"/>
      <c r="E2" s="110"/>
      <c r="F2" s="110"/>
      <c r="G2" s="110"/>
      <c r="H2" s="110"/>
      <c r="I2" s="110"/>
      <c r="J2" s="110"/>
      <c r="K2" s="110"/>
      <c r="L2" s="110"/>
    </row>
    <row r="4" spans="1:12" ht="18" thickBot="1" x14ac:dyDescent="0.3">
      <c r="A4" s="111" t="s">
        <v>894</v>
      </c>
      <c r="B4" s="111"/>
      <c r="C4" s="111"/>
      <c r="D4" s="111"/>
      <c r="E4" s="111"/>
      <c r="F4" s="111"/>
      <c r="G4" s="111"/>
      <c r="H4" s="111"/>
      <c r="I4" s="111"/>
      <c r="J4" s="111"/>
      <c r="K4" s="111"/>
    </row>
    <row r="5" spans="1:12" x14ac:dyDescent="0.25">
      <c r="A5" s="30" t="s">
        <v>727</v>
      </c>
      <c r="B5" s="30" t="s">
        <v>895</v>
      </c>
      <c r="C5" s="30" t="s">
        <v>216</v>
      </c>
      <c r="D5" s="30" t="s">
        <v>896</v>
      </c>
      <c r="E5" s="30" t="s">
        <v>897</v>
      </c>
      <c r="F5" s="30" t="s">
        <v>898</v>
      </c>
      <c r="G5" s="30" t="s">
        <v>899</v>
      </c>
      <c r="H5" s="30" t="s">
        <v>900</v>
      </c>
      <c r="I5" s="30" t="s">
        <v>901</v>
      </c>
      <c r="J5" s="30" t="s">
        <v>902</v>
      </c>
      <c r="K5" s="30" t="s">
        <v>903</v>
      </c>
    </row>
    <row r="6" spans="1:12" ht="38.25" x14ac:dyDescent="0.25">
      <c r="A6" s="37" t="s">
        <v>1127</v>
      </c>
      <c r="B6" s="37" t="s">
        <v>904</v>
      </c>
      <c r="C6" s="37">
        <v>22635</v>
      </c>
      <c r="D6" s="38">
        <f>C6/66587</f>
        <v>0.3399312178052773</v>
      </c>
      <c r="E6" s="38">
        <v>0.60740000000000005</v>
      </c>
      <c r="F6" s="38">
        <v>0.3</v>
      </c>
      <c r="G6" s="38">
        <f>E6*(1-F6)</f>
        <v>0.42518</v>
      </c>
      <c r="H6" s="71">
        <f>C6*F6*E6</f>
        <v>4124.5497000000005</v>
      </c>
      <c r="I6" s="58">
        <f>H6*15000</f>
        <v>61868245.500000007</v>
      </c>
      <c r="J6" s="58">
        <f>C6*500</f>
        <v>11317500</v>
      </c>
      <c r="K6" s="72">
        <f>(I6-J6)/J6</f>
        <v>4.4666000000000006</v>
      </c>
    </row>
    <row r="7" spans="1:12" ht="25.5" x14ac:dyDescent="0.25">
      <c r="A7" s="43" t="s">
        <v>1128</v>
      </c>
      <c r="B7" s="43" t="s">
        <v>905</v>
      </c>
      <c r="C7" s="43">
        <v>21971</v>
      </c>
      <c r="D7" s="44">
        <f>C7/66587</f>
        <v>0.32995930136513135</v>
      </c>
      <c r="E7" s="44">
        <v>0.42720000000000002</v>
      </c>
      <c r="F7" s="44">
        <v>0.15</v>
      </c>
      <c r="G7" s="44">
        <f>E7*(1-F7)</f>
        <v>0.36312</v>
      </c>
      <c r="H7" s="73">
        <f>C7*F7*E7</f>
        <v>1407.9016800000002</v>
      </c>
      <c r="I7" s="74">
        <f>H7*15000</f>
        <v>21118525.200000003</v>
      </c>
      <c r="J7" s="74">
        <f>C7*200</f>
        <v>4394200</v>
      </c>
      <c r="K7" s="75">
        <f>(I7-J7)/J7</f>
        <v>3.8060000000000005</v>
      </c>
    </row>
    <row r="8" spans="1:12" ht="38.25" x14ac:dyDescent="0.25">
      <c r="A8" s="46" t="s">
        <v>1129</v>
      </c>
      <c r="B8" s="46" t="s">
        <v>906</v>
      </c>
      <c r="C8" s="46">
        <v>21981</v>
      </c>
      <c r="D8" s="47">
        <f>C8/66587</f>
        <v>0.33010948082959135</v>
      </c>
      <c r="E8" s="47">
        <v>0.34699999999999998</v>
      </c>
      <c r="F8" s="47">
        <v>0.08</v>
      </c>
      <c r="G8" s="47">
        <f>E8*(1-F8)</f>
        <v>0.31923999999999997</v>
      </c>
      <c r="H8" s="76">
        <f>C8*F8*E8</f>
        <v>610.19255999999996</v>
      </c>
      <c r="I8" s="66">
        <f>H8*15000</f>
        <v>9152888.3999999985</v>
      </c>
      <c r="J8" s="66">
        <f>C8*100</f>
        <v>2198100</v>
      </c>
      <c r="K8" s="77">
        <f>(I8-J8)/J8</f>
        <v>3.1639999999999993</v>
      </c>
    </row>
    <row r="9" spans="1:12" x14ac:dyDescent="0.25">
      <c r="A9" s="78" t="s">
        <v>1047</v>
      </c>
      <c r="B9" s="78" t="s">
        <v>907</v>
      </c>
      <c r="C9" s="78">
        <f>SUM(C6:C8)</f>
        <v>66587</v>
      </c>
      <c r="D9" s="79">
        <f>SUM(D6:D8)</f>
        <v>1</v>
      </c>
      <c r="E9" s="79">
        <f>AVERAGE(E6:E8)</f>
        <v>0.46053333333333341</v>
      </c>
      <c r="F9" s="79">
        <f>AVERAGE(F6:F8)</f>
        <v>0.17666666666666664</v>
      </c>
      <c r="G9" s="79">
        <f>AVERAGE(G6:G8)</f>
        <v>0.36918000000000001</v>
      </c>
      <c r="H9" s="80">
        <f>SUM(H6:H8)</f>
        <v>6142.6439399999999</v>
      </c>
      <c r="I9" s="81">
        <f>SUM(I6:I8)</f>
        <v>92139659.100000024</v>
      </c>
      <c r="J9" s="81">
        <f>SUM(J6:J8)</f>
        <v>17909800</v>
      </c>
      <c r="K9" s="82">
        <f>(I9-J9)/J9</f>
        <v>4.1446503646048543</v>
      </c>
    </row>
    <row r="12" spans="1:12" ht="18" thickBot="1" x14ac:dyDescent="0.3">
      <c r="A12" s="111" t="s">
        <v>908</v>
      </c>
      <c r="B12" s="111"/>
      <c r="C12" s="111"/>
      <c r="D12" s="111"/>
      <c r="E12" s="111"/>
      <c r="F12" s="111"/>
      <c r="G12" s="111"/>
      <c r="H12" s="111"/>
      <c r="I12" s="111"/>
      <c r="J12" s="111"/>
      <c r="K12" s="111"/>
    </row>
    <row r="13" spans="1:12" ht="30" x14ac:dyDescent="0.25">
      <c r="A13" s="30" t="s">
        <v>909</v>
      </c>
      <c r="B13" s="30" t="s">
        <v>910</v>
      </c>
      <c r="C13" s="30" t="s">
        <v>911</v>
      </c>
      <c r="D13" s="30" t="s">
        <v>912</v>
      </c>
      <c r="E13" s="30" t="s">
        <v>913</v>
      </c>
      <c r="F13" s="30" t="s">
        <v>914</v>
      </c>
      <c r="G13" s="30" t="s">
        <v>915</v>
      </c>
      <c r="H13" s="30" t="s">
        <v>916</v>
      </c>
      <c r="I13" s="30" t="s">
        <v>917</v>
      </c>
      <c r="J13" s="30" t="s">
        <v>918</v>
      </c>
      <c r="K13" s="30" t="s">
        <v>919</v>
      </c>
    </row>
    <row r="14" spans="1:12" ht="38.25" x14ac:dyDescent="0.25">
      <c r="A14" s="37" t="s">
        <v>920</v>
      </c>
      <c r="B14" s="37" t="s">
        <v>921</v>
      </c>
      <c r="C14" s="37" t="s">
        <v>922</v>
      </c>
      <c r="D14" s="37" t="s">
        <v>923</v>
      </c>
      <c r="E14" s="37" t="s">
        <v>924</v>
      </c>
      <c r="F14" s="37" t="s">
        <v>925</v>
      </c>
      <c r="G14" s="37" t="s">
        <v>926</v>
      </c>
      <c r="H14" s="37" t="s">
        <v>927</v>
      </c>
      <c r="I14" s="37" t="s">
        <v>928</v>
      </c>
      <c r="J14" s="37" t="s">
        <v>929</v>
      </c>
      <c r="K14" s="37" t="s">
        <v>930</v>
      </c>
    </row>
    <row r="15" spans="1:12" ht="38.25" x14ac:dyDescent="0.25">
      <c r="A15" s="40" t="s">
        <v>931</v>
      </c>
      <c r="B15" s="40" t="s">
        <v>932</v>
      </c>
      <c r="C15" s="40" t="s">
        <v>933</v>
      </c>
      <c r="D15" s="40" t="s">
        <v>934</v>
      </c>
      <c r="E15" s="40" t="s">
        <v>935</v>
      </c>
      <c r="F15" s="40" t="s">
        <v>936</v>
      </c>
      <c r="G15" s="40" t="s">
        <v>937</v>
      </c>
      <c r="H15" s="40" t="s">
        <v>938</v>
      </c>
      <c r="I15" s="40" t="s">
        <v>939</v>
      </c>
      <c r="J15" s="40" t="s">
        <v>940</v>
      </c>
      <c r="K15" s="40" t="s">
        <v>941</v>
      </c>
    </row>
    <row r="16" spans="1:12" ht="38.25" x14ac:dyDescent="0.25">
      <c r="A16" s="40" t="s">
        <v>942</v>
      </c>
      <c r="B16" s="40" t="s">
        <v>943</v>
      </c>
      <c r="C16" s="40" t="s">
        <v>944</v>
      </c>
      <c r="D16" s="40" t="s">
        <v>945</v>
      </c>
      <c r="E16" s="40" t="s">
        <v>946</v>
      </c>
      <c r="F16" s="40" t="s">
        <v>947</v>
      </c>
      <c r="G16" s="40" t="s">
        <v>948</v>
      </c>
      <c r="H16" s="40" t="s">
        <v>949</v>
      </c>
      <c r="I16" s="40" t="s">
        <v>950</v>
      </c>
      <c r="J16" s="40" t="s">
        <v>951</v>
      </c>
      <c r="K16" s="40" t="s">
        <v>952</v>
      </c>
    </row>
    <row r="17" spans="1:11" ht="25.5" x14ac:dyDescent="0.25">
      <c r="A17" s="43" t="s">
        <v>953</v>
      </c>
      <c r="B17" s="43" t="s">
        <v>954</v>
      </c>
      <c r="C17" s="43" t="s">
        <v>955</v>
      </c>
      <c r="D17" s="43" t="s">
        <v>956</v>
      </c>
      <c r="E17" s="43" t="s">
        <v>957</v>
      </c>
      <c r="F17" s="43" t="s">
        <v>958</v>
      </c>
      <c r="G17" s="43" t="s">
        <v>959</v>
      </c>
      <c r="H17" s="43" t="s">
        <v>960</v>
      </c>
      <c r="I17" s="43" t="s">
        <v>961</v>
      </c>
      <c r="J17" s="43" t="s">
        <v>962</v>
      </c>
      <c r="K17" s="43" t="s">
        <v>963</v>
      </c>
    </row>
    <row r="18" spans="1:11" ht="38.25" x14ac:dyDescent="0.25">
      <c r="A18" s="43" t="s">
        <v>964</v>
      </c>
      <c r="B18" s="43" t="s">
        <v>965</v>
      </c>
      <c r="C18" s="43" t="s">
        <v>966</v>
      </c>
      <c r="D18" s="43" t="s">
        <v>967</v>
      </c>
      <c r="E18" s="43" t="s">
        <v>968</v>
      </c>
      <c r="F18" s="43" t="s">
        <v>969</v>
      </c>
      <c r="G18" s="43" t="s">
        <v>970</v>
      </c>
      <c r="H18" s="43" t="s">
        <v>971</v>
      </c>
      <c r="I18" s="43" t="s">
        <v>972</v>
      </c>
      <c r="J18" s="43" t="s">
        <v>973</v>
      </c>
      <c r="K18" s="43" t="s">
        <v>974</v>
      </c>
    </row>
    <row r="19" spans="1:11" ht="25.5" x14ac:dyDescent="0.25">
      <c r="A19" s="46" t="s">
        <v>975</v>
      </c>
      <c r="B19" s="46" t="s">
        <v>976</v>
      </c>
      <c r="C19" s="46" t="s">
        <v>977</v>
      </c>
      <c r="D19" s="46" t="s">
        <v>978</v>
      </c>
      <c r="E19" s="46" t="s">
        <v>979</v>
      </c>
      <c r="F19" s="46" t="s">
        <v>980</v>
      </c>
      <c r="G19" s="46" t="s">
        <v>981</v>
      </c>
      <c r="H19" s="46" t="s">
        <v>982</v>
      </c>
      <c r="I19" s="46" t="s">
        <v>983</v>
      </c>
      <c r="J19" s="46" t="s">
        <v>984</v>
      </c>
      <c r="K19" s="46" t="s">
        <v>985</v>
      </c>
    </row>
    <row r="20" spans="1:11" ht="25.5" x14ac:dyDescent="0.25">
      <c r="A20" s="46" t="s">
        <v>986</v>
      </c>
      <c r="B20" s="46" t="s">
        <v>987</v>
      </c>
      <c r="C20" s="46" t="s">
        <v>988</v>
      </c>
      <c r="D20" s="46" t="s">
        <v>989</v>
      </c>
      <c r="E20" s="46" t="s">
        <v>990</v>
      </c>
      <c r="F20" s="46" t="s">
        <v>991</v>
      </c>
      <c r="G20" s="46" t="s">
        <v>937</v>
      </c>
      <c r="H20" s="46" t="s">
        <v>992</v>
      </c>
      <c r="I20" s="46" t="s">
        <v>993</v>
      </c>
      <c r="J20" s="46" t="s">
        <v>994</v>
      </c>
      <c r="K20" s="46" t="s">
        <v>995</v>
      </c>
    </row>
    <row r="23" spans="1:11" ht="18" thickBot="1" x14ac:dyDescent="0.3">
      <c r="A23" s="111" t="s">
        <v>996</v>
      </c>
      <c r="B23" s="111"/>
      <c r="C23" s="111"/>
      <c r="D23" s="111"/>
      <c r="E23" s="111"/>
      <c r="F23" s="111"/>
      <c r="G23" s="111"/>
      <c r="H23" s="111"/>
      <c r="I23" s="111"/>
      <c r="J23" s="111"/>
      <c r="K23" s="111"/>
    </row>
    <row r="24" spans="1:11" x14ac:dyDescent="0.25">
      <c r="A24" s="30" t="s">
        <v>997</v>
      </c>
      <c r="B24" s="30" t="s">
        <v>998</v>
      </c>
      <c r="C24" s="30" t="s">
        <v>999</v>
      </c>
      <c r="D24" s="30" t="s">
        <v>1000</v>
      </c>
      <c r="E24" s="30" t="s">
        <v>1001</v>
      </c>
      <c r="F24" s="30" t="s">
        <v>1002</v>
      </c>
      <c r="G24" s="30" t="s">
        <v>1003</v>
      </c>
      <c r="H24" s="30" t="s">
        <v>1004</v>
      </c>
      <c r="I24" s="30" t="s">
        <v>1005</v>
      </c>
      <c r="J24" s="30" t="s">
        <v>1006</v>
      </c>
      <c r="K24" s="30" t="s">
        <v>1007</v>
      </c>
    </row>
    <row r="25" spans="1:11" ht="25.5" x14ac:dyDescent="0.25">
      <c r="A25" s="53" t="s">
        <v>936</v>
      </c>
      <c r="B25" s="53">
        <v>8</v>
      </c>
      <c r="C25" s="53" t="s">
        <v>1008</v>
      </c>
      <c r="D25" s="53" t="s">
        <v>1009</v>
      </c>
      <c r="E25" s="53" t="s">
        <v>1010</v>
      </c>
      <c r="F25" s="53" t="s">
        <v>1011</v>
      </c>
      <c r="G25" s="53">
        <v>240</v>
      </c>
      <c r="H25" s="83">
        <v>95000</v>
      </c>
      <c r="I25" s="83">
        <f t="shared" ref="I25:I30" si="0">B25*H25</f>
        <v>760000</v>
      </c>
      <c r="J25" s="53" t="s">
        <v>1012</v>
      </c>
      <c r="K25" s="53" t="s">
        <v>1013</v>
      </c>
    </row>
    <row r="26" spans="1:11" ht="25.5" x14ac:dyDescent="0.25">
      <c r="A26" s="32" t="s">
        <v>1014</v>
      </c>
      <c r="B26" s="32">
        <v>4</v>
      </c>
      <c r="C26" s="32" t="s">
        <v>1015</v>
      </c>
      <c r="D26" s="32" t="s">
        <v>1016</v>
      </c>
      <c r="E26" s="32" t="s">
        <v>1017</v>
      </c>
      <c r="F26" s="32" t="s">
        <v>1018</v>
      </c>
      <c r="G26" s="32">
        <v>160</v>
      </c>
      <c r="H26" s="57">
        <v>52000</v>
      </c>
      <c r="I26" s="57">
        <f t="shared" si="0"/>
        <v>208000</v>
      </c>
      <c r="J26" s="32" t="s">
        <v>1019</v>
      </c>
      <c r="K26" s="32" t="s">
        <v>1020</v>
      </c>
    </row>
    <row r="27" spans="1:11" x14ac:dyDescent="0.25">
      <c r="A27" s="53" t="s">
        <v>1021</v>
      </c>
      <c r="B27" s="53">
        <v>2</v>
      </c>
      <c r="C27" s="53" t="s">
        <v>1022</v>
      </c>
      <c r="D27" s="53" t="s">
        <v>1023</v>
      </c>
      <c r="E27" s="53" t="s">
        <v>1024</v>
      </c>
      <c r="F27" s="53" t="s">
        <v>1025</v>
      </c>
      <c r="G27" s="53">
        <v>80</v>
      </c>
      <c r="H27" s="83">
        <v>125000</v>
      </c>
      <c r="I27" s="83">
        <f t="shared" si="0"/>
        <v>250000</v>
      </c>
      <c r="J27" s="53" t="s">
        <v>1026</v>
      </c>
      <c r="K27" s="53" t="s">
        <v>1027</v>
      </c>
    </row>
    <row r="28" spans="1:11" ht="25.5" x14ac:dyDescent="0.25">
      <c r="A28" s="32" t="s">
        <v>1028</v>
      </c>
      <c r="B28" s="32">
        <v>3</v>
      </c>
      <c r="C28" s="32" t="s">
        <v>1015</v>
      </c>
      <c r="D28" s="32" t="s">
        <v>1029</v>
      </c>
      <c r="E28" s="32" t="s">
        <v>1030</v>
      </c>
      <c r="F28" s="32" t="s">
        <v>1031</v>
      </c>
      <c r="G28" s="32">
        <v>120</v>
      </c>
      <c r="H28" s="57">
        <v>72000</v>
      </c>
      <c r="I28" s="57">
        <f t="shared" si="0"/>
        <v>216000</v>
      </c>
      <c r="J28" s="32" t="s">
        <v>1032</v>
      </c>
      <c r="K28" s="32" t="s">
        <v>1033</v>
      </c>
    </row>
    <row r="29" spans="1:11" x14ac:dyDescent="0.25">
      <c r="A29" s="53" t="s">
        <v>1034</v>
      </c>
      <c r="B29" s="53">
        <v>1</v>
      </c>
      <c r="C29" s="53" t="s">
        <v>1035</v>
      </c>
      <c r="D29" s="53" t="s">
        <v>1036</v>
      </c>
      <c r="E29" s="53" t="s">
        <v>1037</v>
      </c>
      <c r="F29" s="53" t="s">
        <v>1038</v>
      </c>
      <c r="G29" s="53">
        <v>40</v>
      </c>
      <c r="H29" s="83">
        <v>85000</v>
      </c>
      <c r="I29" s="83">
        <f t="shared" si="0"/>
        <v>85000</v>
      </c>
      <c r="J29" s="53" t="s">
        <v>1039</v>
      </c>
      <c r="K29" s="53" t="s">
        <v>1040</v>
      </c>
    </row>
    <row r="30" spans="1:11" x14ac:dyDescent="0.25">
      <c r="A30" s="32" t="s">
        <v>1041</v>
      </c>
      <c r="B30" s="32">
        <v>1</v>
      </c>
      <c r="C30" s="32" t="s">
        <v>1035</v>
      </c>
      <c r="D30" s="32" t="s">
        <v>1042</v>
      </c>
      <c r="E30" s="32" t="s">
        <v>1043</v>
      </c>
      <c r="F30" s="32" t="s">
        <v>1044</v>
      </c>
      <c r="G30" s="32">
        <v>30</v>
      </c>
      <c r="H30" s="57">
        <v>110000</v>
      </c>
      <c r="I30" s="57">
        <f t="shared" si="0"/>
        <v>110000</v>
      </c>
      <c r="J30" s="32" t="s">
        <v>1045</v>
      </c>
      <c r="K30" s="32" t="s">
        <v>1046</v>
      </c>
    </row>
    <row r="31" spans="1:11" x14ac:dyDescent="0.25">
      <c r="A31" s="84" t="s">
        <v>1047</v>
      </c>
      <c r="B31" s="84">
        <f>SUM(B25:B30)</f>
        <v>19</v>
      </c>
      <c r="C31" s="84"/>
      <c r="D31" s="84"/>
      <c r="E31" s="84"/>
      <c r="F31" s="84"/>
      <c r="G31" s="84">
        <f>SUM(G25:G30)</f>
        <v>670</v>
      </c>
      <c r="H31" s="85"/>
      <c r="I31" s="85">
        <f>SUM(I25:I30)</f>
        <v>1629000</v>
      </c>
      <c r="J31" s="84"/>
      <c r="K31" s="84"/>
    </row>
    <row r="34" spans="1:11" ht="18" thickBot="1" x14ac:dyDescent="0.3">
      <c r="A34" s="111" t="s">
        <v>1048</v>
      </c>
      <c r="B34" s="111"/>
      <c r="C34" s="111"/>
      <c r="D34" s="111"/>
      <c r="E34" s="111"/>
      <c r="F34" s="111"/>
      <c r="G34" s="111"/>
      <c r="H34" s="111"/>
      <c r="I34" s="111"/>
      <c r="J34" s="111"/>
      <c r="K34" s="111"/>
    </row>
    <row r="35" spans="1:11" x14ac:dyDescent="0.25">
      <c r="A35" s="30" t="s">
        <v>1049</v>
      </c>
      <c r="B35" s="30" t="s">
        <v>1050</v>
      </c>
      <c r="C35" s="30" t="s">
        <v>1051</v>
      </c>
      <c r="D35" s="30" t="s">
        <v>1052</v>
      </c>
      <c r="E35" s="30" t="s">
        <v>1053</v>
      </c>
      <c r="F35" s="30" t="s">
        <v>1054</v>
      </c>
      <c r="G35" s="30" t="s">
        <v>1055</v>
      </c>
      <c r="H35" s="30" t="s">
        <v>1056</v>
      </c>
      <c r="I35" s="30" t="s">
        <v>564</v>
      </c>
      <c r="J35" s="30" t="s">
        <v>1057</v>
      </c>
      <c r="K35" s="30" t="s">
        <v>803</v>
      </c>
    </row>
    <row r="36" spans="1:11" x14ac:dyDescent="0.25">
      <c r="A36" s="31" t="s">
        <v>4</v>
      </c>
      <c r="B36" s="31" t="s">
        <v>621</v>
      </c>
      <c r="C36" s="31" t="s">
        <v>1058</v>
      </c>
      <c r="D36" s="31" t="s">
        <v>1059</v>
      </c>
      <c r="E36" s="31" t="s">
        <v>1060</v>
      </c>
      <c r="F36" s="31" t="s">
        <v>1061</v>
      </c>
      <c r="G36" s="31" t="s">
        <v>1062</v>
      </c>
      <c r="H36" s="31" t="s">
        <v>1041</v>
      </c>
      <c r="I36" s="31" t="s">
        <v>1152</v>
      </c>
      <c r="J36" s="31" t="s">
        <v>1063</v>
      </c>
      <c r="K36" s="31" t="s">
        <v>1064</v>
      </c>
    </row>
    <row r="37" spans="1:11" x14ac:dyDescent="0.25">
      <c r="A37" s="32" t="s">
        <v>1065</v>
      </c>
      <c r="B37" s="32" t="s">
        <v>1066</v>
      </c>
      <c r="C37" s="32" t="s">
        <v>1067</v>
      </c>
      <c r="D37" s="32" t="s">
        <v>1068</v>
      </c>
      <c r="E37" s="32" t="s">
        <v>1058</v>
      </c>
      <c r="F37" s="32" t="s">
        <v>1069</v>
      </c>
      <c r="G37" s="32" t="s">
        <v>1062</v>
      </c>
      <c r="H37" s="32" t="s">
        <v>1070</v>
      </c>
      <c r="I37" s="32" t="s">
        <v>763</v>
      </c>
      <c r="J37" s="32" t="s">
        <v>1071</v>
      </c>
      <c r="K37" s="32" t="s">
        <v>1072</v>
      </c>
    </row>
    <row r="38" spans="1:11" x14ac:dyDescent="0.25">
      <c r="A38" s="31" t="s">
        <v>1073</v>
      </c>
      <c r="B38" s="31" t="s">
        <v>1074</v>
      </c>
      <c r="C38" s="31" t="s">
        <v>1075</v>
      </c>
      <c r="D38" s="31" t="s">
        <v>1076</v>
      </c>
      <c r="E38" s="31" t="s">
        <v>1077</v>
      </c>
      <c r="F38" s="31" t="s">
        <v>1078</v>
      </c>
      <c r="G38" s="31" t="s">
        <v>1079</v>
      </c>
      <c r="H38" s="31" t="s">
        <v>1070</v>
      </c>
      <c r="I38" s="31" t="s">
        <v>1153</v>
      </c>
      <c r="J38" s="31" t="s">
        <v>1080</v>
      </c>
      <c r="K38" s="31" t="s">
        <v>1081</v>
      </c>
    </row>
    <row r="39" spans="1:11" x14ac:dyDescent="0.25">
      <c r="A39" s="32" t="s">
        <v>1082</v>
      </c>
      <c r="B39" s="32" t="s">
        <v>1083</v>
      </c>
      <c r="C39" s="32" t="s">
        <v>1084</v>
      </c>
      <c r="D39" s="32" t="s">
        <v>1085</v>
      </c>
      <c r="E39" s="32" t="s">
        <v>1086</v>
      </c>
      <c r="F39" s="32" t="s">
        <v>1087</v>
      </c>
      <c r="G39" s="32" t="s">
        <v>1062</v>
      </c>
      <c r="H39" s="32" t="s">
        <v>1088</v>
      </c>
      <c r="I39" s="32" t="s">
        <v>1154</v>
      </c>
      <c r="J39" s="32" t="s">
        <v>1089</v>
      </c>
      <c r="K39" s="32" t="s">
        <v>1090</v>
      </c>
    </row>
    <row r="40" spans="1:11" x14ac:dyDescent="0.25">
      <c r="A40" s="31" t="s">
        <v>1091</v>
      </c>
      <c r="B40" s="31" t="s">
        <v>1092</v>
      </c>
      <c r="C40" s="31" t="s">
        <v>1093</v>
      </c>
      <c r="D40" s="31" t="s">
        <v>1094</v>
      </c>
      <c r="E40" s="31" t="s">
        <v>1076</v>
      </c>
      <c r="F40" s="31" t="s">
        <v>1095</v>
      </c>
      <c r="G40" s="31" t="s">
        <v>1079</v>
      </c>
      <c r="H40" s="31" t="s">
        <v>1096</v>
      </c>
      <c r="I40" s="31" t="s">
        <v>1154</v>
      </c>
      <c r="J40" s="31" t="s">
        <v>1097</v>
      </c>
      <c r="K40" s="31" t="s">
        <v>1098</v>
      </c>
    </row>
    <row r="41" spans="1:11" x14ac:dyDescent="0.25">
      <c r="A41" s="32" t="s">
        <v>567</v>
      </c>
      <c r="B41" s="32" t="s">
        <v>1099</v>
      </c>
      <c r="C41" s="32" t="s">
        <v>1100</v>
      </c>
      <c r="D41" s="32" t="s">
        <v>1101</v>
      </c>
      <c r="E41" s="32" t="s">
        <v>1102</v>
      </c>
      <c r="F41" s="32" t="s">
        <v>1103</v>
      </c>
      <c r="G41" s="32" t="s">
        <v>1062</v>
      </c>
      <c r="H41" s="32" t="s">
        <v>1041</v>
      </c>
      <c r="I41" s="32" t="s">
        <v>1153</v>
      </c>
      <c r="J41" s="32" t="s">
        <v>1104</v>
      </c>
      <c r="K41" s="32" t="s">
        <v>1105</v>
      </c>
    </row>
    <row r="42" spans="1:11" x14ac:dyDescent="0.25">
      <c r="A42" s="31" t="s">
        <v>1106</v>
      </c>
      <c r="B42" s="31" t="s">
        <v>1107</v>
      </c>
      <c r="C42" s="31" t="s">
        <v>1108</v>
      </c>
      <c r="D42" s="31" t="s">
        <v>1109</v>
      </c>
      <c r="E42" s="31" t="s">
        <v>1110</v>
      </c>
      <c r="F42" s="31" t="s">
        <v>1111</v>
      </c>
      <c r="G42" s="31" t="s">
        <v>1112</v>
      </c>
      <c r="H42" s="31" t="s">
        <v>1113</v>
      </c>
      <c r="I42" s="31" t="s">
        <v>1152</v>
      </c>
      <c r="J42" s="31" t="s">
        <v>1114</v>
      </c>
      <c r="K42" s="31" t="s">
        <v>1115</v>
      </c>
    </row>
    <row r="43" spans="1:11" x14ac:dyDescent="0.25">
      <c r="A43" s="32" t="s">
        <v>1116</v>
      </c>
      <c r="B43" s="32" t="s">
        <v>1117</v>
      </c>
      <c r="C43" s="32" t="s">
        <v>1118</v>
      </c>
      <c r="D43" s="32" t="s">
        <v>1119</v>
      </c>
      <c r="E43" s="32" t="s">
        <v>1120</v>
      </c>
      <c r="F43" s="32" t="s">
        <v>1121</v>
      </c>
      <c r="G43" s="32" t="s">
        <v>1112</v>
      </c>
      <c r="H43" s="32" t="s">
        <v>1122</v>
      </c>
      <c r="I43" s="32" t="s">
        <v>1153</v>
      </c>
      <c r="J43" s="32" t="s">
        <v>1123</v>
      </c>
      <c r="K43" s="32" t="s">
        <v>1124</v>
      </c>
    </row>
  </sheetData>
  <mergeCells count="6">
    <mergeCell ref="A34:K34"/>
    <mergeCell ref="A1:L1"/>
    <mergeCell ref="A2:L2"/>
    <mergeCell ref="A4:K4"/>
    <mergeCell ref="A12:K12"/>
    <mergeCell ref="A23:K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Overview Basic Q</vt:lpstr>
      <vt:lpstr>Q1 Age</vt:lpstr>
      <vt:lpstr>Q2 Speciality</vt:lpstr>
      <vt:lpstr>Q3 Emergency</vt:lpstr>
      <vt:lpstr>Q4 Diabetes</vt:lpstr>
      <vt:lpstr>Q5 Medchange</vt:lpstr>
      <vt:lpstr>Q6 Lab proc</vt:lpstr>
      <vt:lpstr>Q7 Demographics</vt:lpstr>
      <vt:lpstr>Q8 Weight</vt:lpstr>
      <vt:lpstr>Q9 Medication</vt:lpstr>
      <vt:lpstr>Q10 Outpatient</vt:lpstr>
      <vt:lpstr>Overview Medium Q</vt:lpstr>
      <vt:lpstr>M1 Comorbidity</vt:lpstr>
      <vt:lpstr>M2 Inpatient</vt:lpstr>
      <vt:lpstr>M3 Demographics</vt:lpstr>
      <vt:lpstr>M4 Diagnosis</vt:lpstr>
      <vt:lpstr>M5 Visit Patterns</vt:lpstr>
      <vt:lpstr>M6 Diabetic Meds</vt:lpstr>
      <vt:lpstr>M7 Specialty Meds</vt:lpstr>
      <vt:lpstr>M8 Weight Diag</vt:lpstr>
      <vt:lpstr>M9 Composite</vt:lpstr>
      <vt:lpstr>M10 Satisfaction</vt:lpstr>
      <vt:lpstr>Overview Advance</vt:lpstr>
      <vt:lpstr>A1 Prediction Model</vt:lpstr>
      <vt:lpstr>A2 Patient Segments</vt:lpstr>
      <vt:lpstr>A3 Financial Impact</vt:lpstr>
      <vt:lpstr>A4 Social Determinants</vt:lpstr>
      <vt:lpstr>A5 Follow-Up Program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Mandar Pawar</dc:creator>
  <cp:lastModifiedBy>Mandar Pawar</cp:lastModifiedBy>
  <dcterms:created xsi:type="dcterms:W3CDTF">2026-06-12T05:34:53Z</dcterms:created>
  <dcterms:modified xsi:type="dcterms:W3CDTF">2026-06-13T12:20:49Z</dcterms:modified>
</cp:coreProperties>
</file>