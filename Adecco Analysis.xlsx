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0e090cf62270d9/Documents/ssbs work/JOB AAJ/Mandatory Projects/"/>
    </mc:Choice>
  </mc:AlternateContent>
  <xr:revisionPtr revIDLastSave="49" documentId="8_{02208580-61F7-4011-9ECC-E814F89467C5}" xr6:coauthVersionLast="47" xr6:coauthVersionMax="47" xr10:uidLastSave="{7509E100-C6E4-4BED-B5BF-A3E32A1288EB}"/>
  <bookViews>
    <workbookView xWindow="-120" yWindow="-120" windowWidth="20730" windowHeight="11160" activeTab="9" xr2:uid="{11B8745E-C229-4247-8FEB-39C2D3C35598}"/>
  </bookViews>
  <sheets>
    <sheet name="Overview Medium Q" sheetId="1" r:id="rId1"/>
    <sheet name="Q1 Top 3 Drivers" sheetId="3" r:id="rId2"/>
    <sheet name="Q2 Job Involvement" sheetId="4" r:id="rId3"/>
    <sheet name="Q3 Age vs Satisfaction" sheetId="5" r:id="rId4"/>
    <sheet name="Q4 Marital Status" sheetId="6" r:id="rId5"/>
    <sheet name="Q5 Training Impact" sheetId="7" r:id="rId6"/>
    <sheet name="Q6 WLB vs Performance" sheetId="8" r:id="rId7"/>
    <sheet name="Q7  Stock Options" sheetId="9" r:id="rId8"/>
    <sheet name="Q8 Tenure vs JobSat" sheetId="10" r:id="rId9"/>
    <sheet name="Q9 Travel vs JobSat" sheetId="11" r:id="rId10"/>
    <sheet name="Q10 Promotion vs Perf" sheetId="12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<sst xmlns="http://schemas.openxmlformats.org/spreadsheetml/2006/main" count="309" uniqueCount="250">
  <si>
    <t>Adecco India | HR Attrition Analysis — Medium Level</t>
  </si>
  <si>
    <t>Total Employees</t>
  </si>
  <si>
    <t>Attritioned</t>
  </si>
  <si>
    <t>Overall Attrition Rate</t>
  </si>
  <si>
    <t>Retained</t>
  </si>
  <si>
    <t>16.12%</t>
  </si>
  <si>
    <t>Analysis</t>
  </si>
  <si>
    <t>Key Finding</t>
  </si>
  <si>
    <t>Attrition Rate / Score</t>
  </si>
  <si>
    <t>Insight</t>
  </si>
  <si>
    <t>Q1 — Top 3 Attrition Drivers</t>
  </si>
  <si>
    <t>TotalWorkingYears, JobLevel, YearsInCurrentRole</t>
  </si>
  <si>
    <t>Corr: -0.17, -0.17, -0.16</t>
  </si>
  <si>
    <t>Senior, stable employees stay. New/junior employees leave most.</t>
  </si>
  <si>
    <t>Q2 — Job Involvement vs Attrition</t>
  </si>
  <si>
    <t>Low involvement = 33.7% attrition</t>
  </si>
  <si>
    <t>High involvement = 9.0%</t>
  </si>
  <si>
    <t>Disengaged employees are 3.7x more likely to leave.</t>
  </si>
  <si>
    <t>Q3 — Age vs Job Satisfaction</t>
  </si>
  <si>
    <t>Satisfaction flat across all age groups</t>
  </si>
  <si>
    <t>Range: 2.63 — 2.78 / 4</t>
  </si>
  <si>
    <t>No generational gap. Satisfaction issues affect all ages equally.</t>
  </si>
  <si>
    <t>Q4 — Marital Status vs Attrition</t>
  </si>
  <si>
    <t>Single employees leave most</t>
  </si>
  <si>
    <t>Single: 25.5% | Married: 12.5%</t>
  </si>
  <si>
    <t>Single employees have fewer ties — more mobility and less risk aversion.</t>
  </si>
  <si>
    <t>Q5 — Training vs Attrition</t>
  </si>
  <si>
    <t>0 trainings = 27.8% attrition</t>
  </si>
  <si>
    <t>6 trainings = 9.2%</t>
  </si>
  <si>
    <t>Training has a strong retention effect. Each session helps.</t>
  </si>
  <si>
    <t>Full Correlation Table (All Factors)</t>
  </si>
  <si>
    <t>Factor</t>
  </si>
  <si>
    <t>Correlation</t>
  </si>
  <si>
    <t>Abs Value</t>
  </si>
  <si>
    <t>Strength</t>
  </si>
  <si>
    <t>TotalWorkingYears</t>
  </si>
  <si>
    <t>Strong</t>
  </si>
  <si>
    <t>JobLevel</t>
  </si>
  <si>
    <t>YearsInCurrentRole</t>
  </si>
  <si>
    <t>MonthlyIncome</t>
  </si>
  <si>
    <t>Age</t>
  </si>
  <si>
    <t>YearsWithCurrManager</t>
  </si>
  <si>
    <t>StockOptionLevel</t>
  </si>
  <si>
    <t>Moderate</t>
  </si>
  <si>
    <t>YearsAtCompany</t>
  </si>
  <si>
    <t>JobInvolvement</t>
  </si>
  <si>
    <t>JobSatisfaction</t>
  </si>
  <si>
    <t>EnvironmentSatisfaction</t>
  </si>
  <si>
    <t>DistanceFromHome</t>
  </si>
  <si>
    <t>Weak</t>
  </si>
  <si>
    <t>WorkLifeBalance</t>
  </si>
  <si>
    <t>TrainingTimesLastYear</t>
  </si>
  <si>
    <t>NumCompaniesWorked</t>
  </si>
  <si>
    <t>YearsSinceLastPromotion</t>
  </si>
  <si>
    <t>PercentSalaryHike</t>
  </si>
  <si>
    <t>Q1 — Top 3 Factors Driving Attrition at Adecco India</t>
  </si>
  <si>
    <t>Method: Pearson Correlation between each numeric variable and Attrition (1=Yes, 0=No). Higher absolute value = stronger relationship.</t>
  </si>
  <si>
    <t>Rank</t>
  </si>
  <si>
    <t>Correlation with Attrition</t>
  </si>
  <si>
    <t>Direction</t>
  </si>
  <si>
    <t>What It Means</t>
  </si>
  <si>
    <t>Action</t>
  </si>
  <si>
    <t>#1</t>
  </si>
  <si>
    <t>Negative (more = less attrition)</t>
  </si>
  <si>
    <t>New hires and junior staff leave more. Focus retention on first 2-3 years.</t>
  </si>
  <si>
    <t>Fast-track development programs, mentorship in first year</t>
  </si>
  <si>
    <t>#2</t>
  </si>
  <si>
    <t>Junior job levels have far higher attrition. Career path clarity is missing.</t>
  </si>
  <si>
    <t>Clear promotion timelines, quarterly career check-ins</t>
  </si>
  <si>
    <t>#3</t>
  </si>
  <si>
    <t>People stuck in the same role too long disengage and leave.</t>
  </si>
  <si>
    <t>Role rotations, stretch assignments, visibility to leadership</t>
  </si>
  <si>
    <t>Q2 — Job Involvement vs Attrition Rate</t>
  </si>
  <si>
    <t>Scale: 1=Low, 2=Medium, 3=High, 4=Very High. Attrition Rate = % who left within each involvement group.</t>
  </si>
  <si>
    <t>Job Involvement Level</t>
  </si>
  <si>
    <t>Label</t>
  </si>
  <si>
    <t>Attrition Rate %</t>
  </si>
  <si>
    <t>Risk Level</t>
  </si>
  <si>
    <t>Low</t>
  </si>
  <si>
    <t>33.73%</t>
  </si>
  <si>
    <t>Critical Risk</t>
  </si>
  <si>
    <t>Medium</t>
  </si>
  <si>
    <t>18.93%</t>
  </si>
  <si>
    <t>High Risk</t>
  </si>
  <si>
    <t>High</t>
  </si>
  <si>
    <t>14.4%</t>
  </si>
  <si>
    <t>Very High</t>
  </si>
  <si>
    <t>9.03%</t>
  </si>
  <si>
    <t>Low Risk</t>
  </si>
  <si>
    <t>Key Insight: Employees with low job involvement (Level 1) are 3.7x more likely to leave than those highly involved (Level 4). This is the single strongest actionable signal in the dataset.</t>
  </si>
  <si>
    <t>Recommendations</t>
  </si>
  <si>
    <t>1. Identify Level 1 employees proactively — run pulse surveys, 1:1 check-ins, manager reviews.</t>
  </si>
  <si>
    <t>2. Assign meaningful projects. Disengagement often comes from repetitive or low-impact work.</t>
  </si>
  <si>
    <t>3. Recognition programs for high-involvement employees to sustain their engagement.</t>
  </si>
  <si>
    <t>JobSatisfaction scale: 1=Low, 2=Medium, 3=High, 4=Very High. Grouped by age bands.</t>
  </si>
  <si>
    <t>Age Group</t>
  </si>
  <si>
    <t>Employee Count</t>
  </si>
  <si>
    <t>Avg Job Satisfaction</t>
  </si>
  <si>
    <t>Min</t>
  </si>
  <si>
    <t>Max</t>
  </si>
  <si>
    <t>18-25</t>
  </si>
  <si>
    <t>34.78%</t>
  </si>
  <si>
    <t>26-30</t>
  </si>
  <si>
    <t>21.29%</t>
  </si>
  <si>
    <t>31-35</t>
  </si>
  <si>
    <t>17.49%</t>
  </si>
  <si>
    <t>36-40</t>
  </si>
  <si>
    <t>9.06%</t>
  </si>
  <si>
    <t>41-45</t>
  </si>
  <si>
    <t>9.38%</t>
  </si>
  <si>
    <t>46-50</t>
  </si>
  <si>
    <t>12.31%</t>
  </si>
  <si>
    <t>51-60</t>
  </si>
  <si>
    <t>12.59%</t>
  </si>
  <si>
    <t>Key Finding: Job satisfaction is remarkably flat across all age groups (range: 2.63 to 2.78 out of 4). This is NOT a generational problem — it's a company-wide culture and work design issue.</t>
  </si>
  <si>
    <t>Note on Attrition by Age</t>
  </si>
  <si>
    <t>• Younger employees (18-30) show higher attrition not because they're less satisfied — satisfaction scores are similar.</t>
  </si>
  <si>
    <t>• The driver is external factors: more job mobility, willingness to switch, and fewer personal anchors.</t>
  </si>
  <si>
    <t>• Recommendation: Focus on career growth visibility and quick wins for younger employees in first 2 years.</t>
  </si>
  <si>
    <t>Q4 — Marital Status vs Attrition Rate</t>
  </si>
  <si>
    <t>Marital Status</t>
  </si>
  <si>
    <t>Left (Yes)</t>
  </si>
  <si>
    <t>Stayed (No)</t>
  </si>
  <si>
    <t>Avg Monthly Income</t>
  </si>
  <si>
    <t>Avg Age</t>
  </si>
  <si>
    <t>Divorced</t>
  </si>
  <si>
    <t>10.09%</t>
  </si>
  <si>
    <t>₹6,786</t>
  </si>
  <si>
    <t>Married</t>
  </si>
  <si>
    <t>12.48%</t>
  </si>
  <si>
    <t>₹6,793</t>
  </si>
  <si>
    <t>Single</t>
  </si>
  <si>
    <t>25.53%</t>
  </si>
  <si>
    <t>₹5,889</t>
  </si>
  <si>
    <t>Key Finding: Single employees have 25.5% attrition — more than 2x the rate of divorced (10.1%) and married (12.5%) employees.</t>
  </si>
  <si>
    <t>Why Do Single Employees Leave More?</t>
  </si>
  <si>
    <t>• Single employees (avg age ~29) are younger and in a career-building phase — more likely to switch for growth or pay.</t>
  </si>
  <si>
    <t>• Less financial and personal anchoring — no mortgage, no family dependents keeping them committed.</t>
  </si>
  <si>
    <t>• Singles are also more likely to accept relocation offers from competitors.</t>
  </si>
  <si>
    <t>• Lower average income (vs married) combined with higher mobility = risk of poaching.</t>
  </si>
  <si>
    <t>Q5 — Does Training Reduce Attrition?</t>
  </si>
  <si>
    <t>TrainingTimesLastYear = number of training sessions attended in the past 12 months.</t>
  </si>
  <si>
    <t>Training Sessions</t>
  </si>
  <si>
    <t>Left</t>
  </si>
  <si>
    <t>Stayed</t>
  </si>
  <si>
    <t>Trend</t>
  </si>
  <si>
    <t>27.78%</t>
  </si>
  <si>
    <t>12.68%</t>
  </si>
  <si>
    <t>Below Avg</t>
  </si>
  <si>
    <t>17.92%</t>
  </si>
  <si>
    <t>Above Avg</t>
  </si>
  <si>
    <t>14.05%</t>
  </si>
  <si>
    <t>21.14%</t>
  </si>
  <si>
    <t>11.76%</t>
  </si>
  <si>
    <t>9.23%</t>
  </si>
  <si>
    <t>Key Finding: Zero training sessions = 27.8% attrition. Six sessions = 9.2%. Training is one of the cheapest and most effective retention tools available.</t>
  </si>
  <si>
    <t>• Mandate at least 3 training sessions per year per employee — that alone can cut attrition from 27.8% to ~14%.</t>
  </si>
  <si>
    <t>• Employees with 0-1 sessions should be flagged immediately and enrolled in the next available program.</t>
  </si>
  <si>
    <t>• Track training completion alongside performance reviews. Make it a manager KPI.</t>
  </si>
  <si>
    <t>• Note: The spike at 4 sessions (21%) may reflect overloaded employees — balance quantity with relevance.</t>
  </si>
  <si>
    <t>Q6. Work-Life Balance vs Performance Rating</t>
  </si>
  <si>
    <t>WorkLifeBalance scale: 1=Bad, 2=Good, 3=Better, 4=Best. Checking if poor balance shows up as lower performance.</t>
  </si>
  <si>
    <t>WLB Score</t>
  </si>
  <si>
    <t>Employees</t>
  </si>
  <si>
    <t>Avg Performance Rating</t>
  </si>
  <si>
    <t>% of Workforce</t>
  </si>
  <si>
    <t>Bad</t>
  </si>
  <si>
    <t>5.4%</t>
  </si>
  <si>
    <t>Good</t>
  </si>
  <si>
    <t>23.4%</t>
  </si>
  <si>
    <t>Better</t>
  </si>
  <si>
    <t>60.7%</t>
  </si>
  <si>
    <t>Best</t>
  </si>
  <si>
    <t>10.4%</t>
  </si>
  <si>
    <t>Observation: Average performance rating barely moves across WLB groups (3.14 to 3.18, all out of 4). Employees with 'Bad' work-life balance are NOT rating worse on performance - if anything they're slightly higher.</t>
  </si>
  <si>
    <t>What this likely means:</t>
  </si>
  <si>
    <t>- Performance ratings here are largely manager-given, and may not reflect actual burnout - people can perform fine on paper while quietly burning out.</t>
  </si>
  <si>
    <t>- Only 80 employees report 'Bad' WLB (5% of workforce), so this group is small. Worth a closer look via exit interviews even though the numbers don't show a big swing.</t>
  </si>
  <si>
    <t>- Recommendation: don't rely on performance scores alone to catch burnout. Pair this with attrition and satisfaction data, and consider a simple pulse survey for the WLB=1 and WLB=2 groups.</t>
  </si>
  <si>
    <t>Q7. Stock Option Level vs Attrition</t>
  </si>
  <si>
    <t>StockOptionLevel: 0=None, 1=Basic, 2=Mid, 3=High. Checking whether equity benefits keep people from leaving.</t>
  </si>
  <si>
    <t>Stock Option Level</t>
  </si>
  <si>
    <t>24.41%</t>
  </si>
  <si>
    <t>Rs 6,188</t>
  </si>
  <si>
    <t>9.4%</t>
  </si>
  <si>
    <t>Rs 7,019</t>
  </si>
  <si>
    <t>7.59%</t>
  </si>
  <si>
    <t>Rs 6,172</t>
  </si>
  <si>
    <t xml:space="preserve"> </t>
  </si>
  <si>
    <t>17.65%</t>
  </si>
  <si>
    <t>Rs 5,829</t>
  </si>
  <si>
    <t>Observation: Stock options 1 and 2 clearly help (9.4% and 7.6% attrition vs 24.4% with no stock options). But Level 3 jumps back up to 17.6% - higher than 1 and 2.</t>
  </si>
  <si>
    <t>- Going from 0 stock options to even a small allocation (Level 1) cuts attrition by more than half - this is a strong signal that equity is doing its job at the lower levels.</t>
  </si>
  <si>
    <t>- Level 3 is a small group (85 people), so the 17.6% could partly be noise, but it could also mean these are senior employees who are more in-demand and get poached despite the equity.</t>
  </si>
  <si>
    <t>- Recommendation: extend at least Level 1 stock options more broadly to the Level 0 group (631 employees, 24.4% attrition) - this looks like the highest-leverage, lowest-cost fix on this list.</t>
  </si>
  <si>
    <t>- Separately, dig into the Level 3 group specifically (likely senior roles) - equity alone may not be enough for them; career growth and role scope probably matter more.</t>
  </si>
  <si>
    <t>Q8. Years at Company vs Job Satisfaction</t>
  </si>
  <si>
    <t>JobSatisfaction scale: 1=Low to 4=Very High. Checking if long-tenured employees lose interest over time.</t>
  </si>
  <si>
    <t>Years at Company</t>
  </si>
  <si>
    <t>0-2 yrs</t>
  </si>
  <si>
    <t>29.82%</t>
  </si>
  <si>
    <t>23.3%</t>
  </si>
  <si>
    <t>3-5 yrs</t>
  </si>
  <si>
    <t>13.82%</t>
  </si>
  <si>
    <t>29.5%</t>
  </si>
  <si>
    <t>6-10 yrs</t>
  </si>
  <si>
    <t>12.28%</t>
  </si>
  <si>
    <t>30.5%</t>
  </si>
  <si>
    <t>11-15 yrs</t>
  </si>
  <si>
    <t>6.48%</t>
  </si>
  <si>
    <t>7.3%</t>
  </si>
  <si>
    <t>16+ yrs</t>
  </si>
  <si>
    <t>9.42%</t>
  </si>
  <si>
    <t>Observation: Job satisfaction does NOT show a clear decline with tenure. The 16+ years group actually has the lowest satisfaction (2.65), but 11-15 years has the highest (2.81) - it's more of a dip than a steady slide.</t>
  </si>
  <si>
    <t>- There's no strong 'long-timers get bored' pattern in the satisfaction scores - the differences across tenure groups are small (2.65 to 2.81 out of 4).</t>
  </si>
  <si>
    <t>- Attrition tells a clearer story than satisfaction here: it drops sharply from 29.8% in years 0-2 down to 6.5% by years 11-15, then ticks back up slightly to 9.4% at 16+ years.</t>
  </si>
  <si>
    <t>- The slight rise at 16+ years (both lower satisfaction and slightly higher attrition) could be a late-career group worth watching - possibly people nearing retirement decisions or feeling stuck at the top of their role.</t>
  </si>
  <si>
    <t>- Recommendation: the real risk window is years 0-2, not long tenure. Retention budget is better spent there. For the 16+ group, occasional refresher conversations about role/growth could help but isn't urgent based on this data.</t>
  </si>
  <si>
    <t>Q9. Business Travel vs Job Satisfaction</t>
  </si>
  <si>
    <t>Checking if frequent travel is wearing employees down - both on satisfaction and on attrition.</t>
  </si>
  <si>
    <t>Business Travel</t>
  </si>
  <si>
    <t>Non-Travel</t>
  </si>
  <si>
    <t>8.0%</t>
  </si>
  <si>
    <t>10.2%</t>
  </si>
  <si>
    <t>Travel Rarely</t>
  </si>
  <si>
    <t>14.96%</t>
  </si>
  <si>
    <t>71.0%</t>
  </si>
  <si>
    <t>Travel Frequently</t>
  </si>
  <si>
    <t>24.91%</t>
  </si>
  <si>
    <t>18.8%</t>
  </si>
  <si>
    <t>Observation: Job satisfaction barely changes with travel frequency (2.70 to 2.79), but attrition is very different - 'Travel Frequently' employees leave at 24.9% vs just 8.0% for 'Non-Travel'.</t>
  </si>
  <si>
    <t>- Travel doesn't seem to dent how satisfied people say they are with their job day-to-day - but it does correlate strongly with whether they stick around.</t>
  </si>
  <si>
    <t>- This points to travel being more of a 'tipping point' factor than a 'satisfaction' factor - people might rate their job fine overall, but frequent travel adds enough friction (to family life, routine, energy) to push them toward leaving when something else doesn't work out.</t>
  </si>
  <si>
    <t>- Frequent travelers are also a relatively small group (277 people, ~19% of workforce), but their attrition rate is 3x the non-travel group - that's a meaningful chunk of overall attrition coming from this segment.</t>
  </si>
  <si>
    <t>- Recommendation: for roles requiring frequent travel, look at travel allowances, comp-off policies, or capping trips per quarter. Even small adjustments here could meaningfully reduce attrition in this group.</t>
  </si>
  <si>
    <t>Q10. Years Since Last Promotion vs Performance Rating</t>
  </si>
  <si>
    <t>Checking if employees who haven't been promoted in a while show lower performance ratings.</t>
  </si>
  <si>
    <t>Years Since Last Promotion</t>
  </si>
  <si>
    <t>0 (promoted this yr)</t>
  </si>
  <si>
    <t>39.5%</t>
  </si>
  <si>
    <t>1-2 yrs</t>
  </si>
  <si>
    <t>35.1%</t>
  </si>
  <si>
    <t>10.7%</t>
  </si>
  <si>
    <t>6+ yrs</t>
  </si>
  <si>
    <t>14.6%</t>
  </si>
  <si>
    <t>Observation: Performance rating is essentially flat across all groups (3.13 to 3.17 out of 4), regardless of how long ago the last promotion was - even the 6+ years group rates similar to people promoted this year.</t>
  </si>
  <si>
    <t>- There's no sign here of 'stalled careers' showing up as lower performance scores. People who haven't been promoted in 6+ years (215 employees, ~15% of workforce) are performing just as well on paper as recently promoted employees.</t>
  </si>
  <si>
    <t>- This could mean one of two things: either lack of promotion genuinely isn't hurting their output, or the performance rating scale itself is too compressed/lenient to pick up subtle motivation issues (most scores cluster around 3 out of 4 across the whole dataset).</t>
  </si>
  <si>
    <t>- Worth cross-checking with the Q1 finding - YearsSinceLastPromotion didn't show up as a strong attrition driver either, so on the numbers, promotion timing isn't an obvious red flag right now.</t>
  </si>
  <si>
    <t>- Recommendation: don't treat this as 'no action needed' purely on the data - performance ratings might not be sensitive enough to catch this. A short pulse survey question on career progression for the 6+ years group would give a better read than performance scores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</si>
</sst>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E75B6"/>
      <name val="Arial"/>
      <family val="2"/>
    </font>
    <font>
      <b/>
      <sz val="10"/>
      <color rgb="FFC00000"/>
      <name val="Arial"/>
      <family val="2"/>
    </font>
    <font>
      <sz val="10"/>
      <color rgb="FFED7D31"/>
      <name val="Arial"/>
      <family val="2"/>
    </font>
    <font>
      <sz val="10"/>
      <color rgb="FF595959"/>
      <name val="Arial"/>
      <family val="2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sz val="10"/>
      <color rgb="FF375623"/>
      <name val="Arial"/>
      <family val="2"/>
    </font>
    <font>
      <b/>
      <sz val="10"/>
      <color rgb="FFED7D31"/>
      <name val="Arial"/>
      <family val="2"/>
    </font>
    <font>
      <b/>
      <sz val="10"/>
      <color rgb="FF375623"/>
      <name val="Arial"/>
      <family val="2"/>
    </font>
    <font>
      <sz val="10"/>
      <color rgb="FFC00000"/>
      <name val="Arial"/>
      <family val="2"/>
    </font>
    <font>
      <b/>
      <sz val="11"/>
      <color rgb="FFFFFFFF"/>
      <name val="Arial"/>
      <family val="2"/>
    </font>
    <font>
      <b/>
      <sz val="14"/>
      <color rgb="FF4472C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ED7D31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0" borderId="1" xfId="0" applyBorder="1"/>
    <xf numFmtId="0" fontId="5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 wrapText="1"/>
    </xf>
    <xf numFmtId="0" fontId="0" fillId="0" borderId="0" xfId="0"/>
    <xf numFmtId="0" fontId="18" fillId="0" borderId="0" xfId="0" applyFont="1" applyAlignment="1">
      <alignment horizontal="left" vertical="center"/>
    </xf>
    <xf numFmtId="0" fontId="20" fillId="4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0" fillId="0" borderId="1" xfId="0" applyBorder="1"/>
    <xf numFmtId="0" fontId="4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wrapText="1"/>
    </xf>
    <xf numFmtId="0" fontId="20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Job Involvement vs Attrition Rate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'[2]Q2 — Job Involvement'!$G$5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'[2]Q2 — Job Involvement'!$C$6:$C$9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'[2]Q2 — Job Involvement'!$G$6:$G$9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0-40AE-8791-ABEDA3638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Job Involvement Level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Job Satisfaction by Age Group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'[2]Q3 — Age vs Satisfaction'!$D$5</c:f>
              <c:strCache>
                <c:ptCount val="1"/>
                <c:pt idx="0">
                  <c:v>Avg Job Satisfaction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'[2]Q3 — Age vs Satisfaction'!$B$6:$B$12</c:f>
              <c:strCache>
                <c:ptCount val="7"/>
                <c:pt idx="0">
                  <c:v>18-25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51-60</c:v>
                </c:pt>
              </c:strCache>
            </c:strRef>
          </c:cat>
          <c:val>
            <c:numRef>
              <c:f>'[2]Q3 — Age vs Satisfaction'!$D$6:$D$12</c:f>
              <c:numCache>
                <c:formatCode>General</c:formatCode>
                <c:ptCount val="7"/>
                <c:pt idx="0">
                  <c:v>2.7</c:v>
                </c:pt>
                <c:pt idx="1">
                  <c:v>2.69</c:v>
                </c:pt>
                <c:pt idx="2">
                  <c:v>2.78</c:v>
                </c:pt>
                <c:pt idx="3">
                  <c:v>2.74</c:v>
                </c:pt>
                <c:pt idx="4">
                  <c:v>2.72</c:v>
                </c:pt>
                <c:pt idx="5">
                  <c:v>2.63</c:v>
                </c:pt>
                <c:pt idx="6">
                  <c:v>2.76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25-4753-9376-34DE4FA32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"/>
          <c:min val="1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Job Satisfaction (1-4)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Rate by Marital Status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'[2]Q4 — Marital Status'!$F$4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'[2]Q4 — Marital Status'!$B$5:$B$7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'[2]Q4 — Marital Status'!$F$5:$F$7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6-483B-B426-735A4C4E5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Rate by Training Sessions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'[2]Q5 — Training Impact'!$F$5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'[2]Q5 — Training Impact'!$B$6:$B$12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'[2]Q5 — Training Impact'!$F$6:$F$12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4-41E5-966F-5A565D05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Training Sessions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Performance Rating by Work-Life Balance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'[1]Q6 - WLB vs Performance'!$D$4</c:f>
              <c:strCache>
                <c:ptCount val="1"/>
                <c:pt idx="0">
                  <c:v>Avg Performance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'[1]Q6 - WLB vs Performance'!$B$5:$B$8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Better</c:v>
                </c:pt>
                <c:pt idx="3">
                  <c:v>Best</c:v>
                </c:pt>
              </c:strCache>
            </c:strRef>
          </c:cat>
          <c:val>
            <c:numRef>
              <c:f>'[1]Q6 - WLB vs Performance'!$D$5:$D$8</c:f>
              <c:numCache>
                <c:formatCode>General</c:formatCode>
                <c:ptCount val="4"/>
                <c:pt idx="0">
                  <c:v>3.18</c:v>
                </c:pt>
                <c:pt idx="1">
                  <c:v>3.14</c:v>
                </c:pt>
                <c:pt idx="2">
                  <c:v>3.16</c:v>
                </c:pt>
                <c:pt idx="3">
                  <c:v>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7-4521-84EB-A2EE96FF3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.5"/>
          <c:min val="2.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Performance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Rate by Stock Option Level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'[1]Q7 - Stock Options'!$E$4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'[1]Q7 - Stock Options'!$A$5:$A$8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'[1]Q7 - Stock Options'!$E$5:$E$8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0-41CD-B14E-7020E3CA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Job Satisfaction by Tenure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'[1]Q8 - Tenure vs JobSat'!$C$4</c:f>
              <c:strCache>
                <c:ptCount val="1"/>
                <c:pt idx="0">
                  <c:v>Avg Job Satisfaction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'[1]Q8 - Tenure vs JobSat'!$A$5:$A$9</c:f>
              <c:strCache>
                <c:ptCount val="5"/>
                <c:pt idx="0">
                  <c:v>0-2 yrs</c:v>
                </c:pt>
                <c:pt idx="1">
                  <c:v>3-5 yrs</c:v>
                </c:pt>
                <c:pt idx="2">
                  <c:v>6-10 yrs</c:v>
                </c:pt>
                <c:pt idx="3">
                  <c:v>11-15 yrs</c:v>
                </c:pt>
                <c:pt idx="4">
                  <c:v>16+ yrs</c:v>
                </c:pt>
              </c:strCache>
            </c:strRef>
          </c:cat>
          <c:val>
            <c:numRef>
              <c:f>'[1]Q8 - Tenure vs JobSat'!$C$5:$C$9</c:f>
              <c:numCache>
                <c:formatCode>General</c:formatCode>
                <c:ptCount val="5"/>
                <c:pt idx="0">
                  <c:v>2.76</c:v>
                </c:pt>
                <c:pt idx="1">
                  <c:v>2.66</c:v>
                </c:pt>
                <c:pt idx="2">
                  <c:v>2.77</c:v>
                </c:pt>
                <c:pt idx="3">
                  <c:v>2.81</c:v>
                </c:pt>
                <c:pt idx="4">
                  <c:v>2.65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52-4771-BF5B-8121BBA5E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.5"/>
          <c:min val="2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Job Satisfaction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Rate by Business Travel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'[1]Q9 - Travel vs JobSat'!$D$4</c:f>
              <c:strCache>
                <c:ptCount val="1"/>
                <c:pt idx="0">
                  <c:v>Attrition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'[1]Q9 - Travel vs JobSat'!$A$5:$A$7</c:f>
              <c:strCache>
                <c:ptCount val="3"/>
                <c:pt idx="0">
                  <c:v>Non-Travel</c:v>
                </c:pt>
                <c:pt idx="1">
                  <c:v>Travel Rarely</c:v>
                </c:pt>
                <c:pt idx="2">
                  <c:v>Travel Frequently</c:v>
                </c:pt>
              </c:strCache>
            </c:strRef>
          </c:cat>
          <c:val>
            <c:numRef>
              <c:f>'[1]Q9 - Travel vs JobSat'!$D$5:$D$7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3-49E1-9B36-B9A49EF8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Attrition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Performance Rating by Years Since Promotion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'[1]Q10 - Promotion vs Perf'!$C$4</c:f>
              <c:strCache>
                <c:ptCount val="1"/>
                <c:pt idx="0">
                  <c:v>Avg Performance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'[1]Q10 - Promotion vs Perf'!$A$5:$A$8</c:f>
              <c:strCache>
                <c:ptCount val="4"/>
                <c:pt idx="0">
                  <c:v>0 (promoted this yr)</c:v>
                </c:pt>
                <c:pt idx="1">
                  <c:v>1-2 yrs</c:v>
                </c:pt>
                <c:pt idx="2">
                  <c:v>3-5 yrs</c:v>
                </c:pt>
                <c:pt idx="3">
                  <c:v>6+ yrs</c:v>
                </c:pt>
              </c:strCache>
            </c:strRef>
          </c:cat>
          <c:val>
            <c:numRef>
              <c:f>'[1]Q10 - Promotion vs Perf'!$C$5:$C$8</c:f>
              <c:numCache>
                <c:formatCode>General</c:formatCode>
                <c:ptCount val="4"/>
                <c:pt idx="0">
                  <c:v>3.17</c:v>
                </c:pt>
                <c:pt idx="1">
                  <c:v>3.13</c:v>
                </c:pt>
                <c:pt idx="2">
                  <c:v>3.17</c:v>
                </c:pt>
                <c:pt idx="3">
                  <c:v>3.16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100-AA6F-CE79F563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.5"/>
          <c:min val="2.5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Performance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5C01C-9DD3-4008-86F9-EF5D0DE07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4A399-8305-4391-8B49-3D9718658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BD970-3448-4B60-BABE-882519078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907A1-BA51-42E0-A81F-92819C62C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5719C-31DF-4DF5-8BBF-DDACDF1B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A7C12-6A1F-47BA-A586-EA0DC75F2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28221-1B2E-48CE-8D80-A83D2B6A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EE61A-86ED-4FF5-B29A-969435093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B248D-D159-4323-B330-55C04794B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da\Downloads\Adecco_HR_Attrition_Q6-Q10.xlsx" TargetMode="External"/><Relationship Id="rId1" Type="http://schemas.openxmlformats.org/officeDocument/2006/relationships/externalLinkPath" Target="file:///C:\Users\manda\Downloads\Adecco_HR_Attrition_Q6-Q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da\Downloads\Adecco_HR_Attrition_Analysis.xlsx" TargetMode="External"/><Relationship Id="rId1" Type="http://schemas.openxmlformats.org/officeDocument/2006/relationships/externalLinkPath" Target="file:///C:\Users\manda\Downloads\Adecco_HR_Attrition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6 - WLB vs Performance"/>
      <sheetName val="Q7 - Stock Options"/>
      <sheetName val="Q8 - Tenure vs JobSat"/>
      <sheetName val="Q9 - Travel vs JobSat"/>
      <sheetName val="Q10 - Promotion vs Perf"/>
    </sheetNames>
    <sheetDataSet>
      <sheetData sheetId="0">
        <row r="4">
          <cell r="D4" t="str">
            <v>Avg Performance Rating</v>
          </cell>
        </row>
        <row r="5">
          <cell r="B5" t="str">
            <v>Bad</v>
          </cell>
          <cell r="D5">
            <v>3.18</v>
          </cell>
        </row>
        <row r="6">
          <cell r="B6" t="str">
            <v>Good</v>
          </cell>
          <cell r="D6">
            <v>3.14</v>
          </cell>
        </row>
        <row r="7">
          <cell r="B7" t="str">
            <v>Better</v>
          </cell>
          <cell r="D7">
            <v>3.16</v>
          </cell>
        </row>
        <row r="8">
          <cell r="B8" t="str">
            <v>Best</v>
          </cell>
          <cell r="D8">
            <v>3.15</v>
          </cell>
        </row>
      </sheetData>
      <sheetData sheetId="1">
        <row r="4">
          <cell r="E4" t="str">
            <v>Attrition Rate %</v>
          </cell>
        </row>
        <row r="5">
          <cell r="A5">
            <v>0</v>
          </cell>
          <cell r="E5" t="str">
            <v>24.41%</v>
          </cell>
        </row>
        <row r="6">
          <cell r="A6">
            <v>1</v>
          </cell>
          <cell r="E6" t="str">
            <v>9.4%</v>
          </cell>
        </row>
        <row r="7">
          <cell r="A7">
            <v>2</v>
          </cell>
          <cell r="E7" t="str">
            <v>7.59%</v>
          </cell>
        </row>
        <row r="8">
          <cell r="A8">
            <v>3</v>
          </cell>
          <cell r="E8" t="str">
            <v>17.65%</v>
          </cell>
        </row>
      </sheetData>
      <sheetData sheetId="2">
        <row r="4">
          <cell r="C4" t="str">
            <v>Avg Job Satisfaction</v>
          </cell>
        </row>
        <row r="5">
          <cell r="A5" t="str">
            <v>0-2 yrs</v>
          </cell>
          <cell r="C5">
            <v>2.76</v>
          </cell>
        </row>
        <row r="6">
          <cell r="A6" t="str">
            <v>3-5 yrs</v>
          </cell>
          <cell r="C6">
            <v>2.66</v>
          </cell>
        </row>
        <row r="7">
          <cell r="A7" t="str">
            <v>6-10 yrs</v>
          </cell>
          <cell r="C7">
            <v>2.77</v>
          </cell>
        </row>
        <row r="8">
          <cell r="A8" t="str">
            <v>11-15 yrs</v>
          </cell>
          <cell r="C8">
            <v>2.81</v>
          </cell>
        </row>
        <row r="9">
          <cell r="A9" t="str">
            <v>16+ yrs</v>
          </cell>
          <cell r="C9">
            <v>2.65</v>
          </cell>
        </row>
      </sheetData>
      <sheetData sheetId="3">
        <row r="4">
          <cell r="D4" t="str">
            <v>Attrition Rate %</v>
          </cell>
        </row>
        <row r="5">
          <cell r="A5" t="str">
            <v>Non-Travel</v>
          </cell>
          <cell r="D5" t="str">
            <v>8.0%</v>
          </cell>
        </row>
        <row r="6">
          <cell r="A6" t="str">
            <v>Travel Rarely</v>
          </cell>
          <cell r="D6" t="str">
            <v>14.96%</v>
          </cell>
        </row>
        <row r="7">
          <cell r="A7" t="str">
            <v>Travel Frequently</v>
          </cell>
          <cell r="D7" t="str">
            <v>24.91%</v>
          </cell>
        </row>
      </sheetData>
      <sheetData sheetId="4">
        <row r="4">
          <cell r="C4" t="str">
            <v>Avg Performance Rating</v>
          </cell>
        </row>
        <row r="5">
          <cell r="A5" t="str">
            <v>0 (promoted this yr)</v>
          </cell>
          <cell r="C5">
            <v>3.17</v>
          </cell>
        </row>
        <row r="6">
          <cell r="A6" t="str">
            <v>1-2 yrs</v>
          </cell>
          <cell r="C6">
            <v>3.13</v>
          </cell>
        </row>
        <row r="7">
          <cell r="A7" t="str">
            <v>3-5 yrs</v>
          </cell>
          <cell r="C7">
            <v>3.17</v>
          </cell>
        </row>
        <row r="8">
          <cell r="A8" t="str">
            <v>6+ yrs</v>
          </cell>
          <cell r="C8">
            <v>3.16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Dashboard"/>
      <sheetName val="Q1 — Top 3 Drivers"/>
      <sheetName val="Q2 — Job Involvement"/>
      <sheetName val="Q3 — Age vs Satisfaction"/>
      <sheetName val="Q4 — Marital Status"/>
      <sheetName val="Q5 — Training Impact"/>
      <sheetName val="Overview Basic"/>
      <sheetName val="Q1  Overall Attrition Rate"/>
      <sheetName val="Q2 Attrition by Department"/>
      <sheetName val="Q3 Avg Age (Left)"/>
      <sheetName val="Q4 Job Satisfaction by Role"/>
      <sheetName val="Q5 Attrition by Gender"/>
      <sheetName val="Q6 Avg Monthly Income"/>
      <sheetName val="Q7 Distance from Home"/>
      <sheetName val="Q8 Performance Ratings"/>
      <sheetName val="Q9 Overtime &amp; Attrition"/>
      <sheetName val="Q10 Avg Tenure"/>
      <sheetName val="Sort Data"/>
      <sheetName val="Overview Medium "/>
      <sheetName val="Q6 - WLB vs Performance"/>
      <sheetName val="Q7 - Stock Options"/>
      <sheetName val="Q8 - Tenure vs JobSat"/>
      <sheetName val="Q9 - Travel vs JobSat"/>
    </sheetNames>
    <sheetDataSet>
      <sheetData sheetId="0"/>
      <sheetData sheetId="1"/>
      <sheetData sheetId="2">
        <row r="5">
          <cell r="G5" t="str">
            <v>Attrition Rate %</v>
          </cell>
        </row>
        <row r="6">
          <cell r="C6" t="str">
            <v>Low</v>
          </cell>
          <cell r="G6" t="str">
            <v>33.73%</v>
          </cell>
        </row>
        <row r="7">
          <cell r="C7" t="str">
            <v>Medium</v>
          </cell>
          <cell r="G7" t="str">
            <v>18.93%</v>
          </cell>
        </row>
        <row r="8">
          <cell r="C8" t="str">
            <v>High</v>
          </cell>
          <cell r="G8" t="str">
            <v>14.4%</v>
          </cell>
        </row>
        <row r="9">
          <cell r="C9" t="str">
            <v>Very High</v>
          </cell>
          <cell r="G9" t="str">
            <v>9.03%</v>
          </cell>
        </row>
      </sheetData>
      <sheetData sheetId="3">
        <row r="5">
          <cell r="D5" t="str">
            <v>Avg Job Satisfaction</v>
          </cell>
        </row>
        <row r="6">
          <cell r="B6" t="str">
            <v>18-25</v>
          </cell>
          <cell r="D6">
            <v>2.7</v>
          </cell>
        </row>
        <row r="7">
          <cell r="B7" t="str">
            <v>26-30</v>
          </cell>
          <cell r="D7">
            <v>2.69</v>
          </cell>
        </row>
        <row r="8">
          <cell r="B8" t="str">
            <v>31-35</v>
          </cell>
          <cell r="D8">
            <v>2.78</v>
          </cell>
        </row>
        <row r="9">
          <cell r="B9" t="str">
            <v>36-40</v>
          </cell>
          <cell r="D9">
            <v>2.74</v>
          </cell>
        </row>
        <row r="10">
          <cell r="B10" t="str">
            <v>41-45</v>
          </cell>
          <cell r="D10">
            <v>2.72</v>
          </cell>
        </row>
        <row r="11">
          <cell r="B11" t="str">
            <v>46-50</v>
          </cell>
          <cell r="D11">
            <v>2.63</v>
          </cell>
        </row>
        <row r="12">
          <cell r="B12" t="str">
            <v>51-60</v>
          </cell>
          <cell r="D12">
            <v>2.76</v>
          </cell>
        </row>
      </sheetData>
      <sheetData sheetId="4">
        <row r="4">
          <cell r="F4" t="str">
            <v>Attrition Rate %</v>
          </cell>
        </row>
        <row r="5">
          <cell r="B5" t="str">
            <v>Divorced</v>
          </cell>
          <cell r="F5" t="str">
            <v>10.09%</v>
          </cell>
        </row>
        <row r="6">
          <cell r="B6" t="str">
            <v>Married</v>
          </cell>
          <cell r="F6" t="str">
            <v>12.48%</v>
          </cell>
        </row>
        <row r="7">
          <cell r="B7" t="str">
            <v>Single</v>
          </cell>
          <cell r="F7" t="str">
            <v>25.53%</v>
          </cell>
        </row>
      </sheetData>
      <sheetData sheetId="5">
        <row r="5">
          <cell r="F5" t="str">
            <v>Attrition Rate %</v>
          </cell>
        </row>
        <row r="6">
          <cell r="B6">
            <v>0</v>
          </cell>
          <cell r="F6" t="str">
            <v>27.78%</v>
          </cell>
        </row>
        <row r="7">
          <cell r="B7">
            <v>1</v>
          </cell>
          <cell r="F7" t="str">
            <v>12.68%</v>
          </cell>
        </row>
        <row r="8">
          <cell r="B8">
            <v>2</v>
          </cell>
          <cell r="F8" t="str">
            <v>17.92%</v>
          </cell>
        </row>
        <row r="9">
          <cell r="B9">
            <v>3</v>
          </cell>
          <cell r="F9" t="str">
            <v>14.05%</v>
          </cell>
        </row>
        <row r="10">
          <cell r="B10">
            <v>4</v>
          </cell>
          <cell r="F10" t="str">
            <v>21.14%</v>
          </cell>
        </row>
        <row r="11">
          <cell r="B11">
            <v>5</v>
          </cell>
          <cell r="F11" t="str">
            <v>11.76%</v>
          </cell>
        </row>
        <row r="12">
          <cell r="B12">
            <v>6</v>
          </cell>
          <cell r="F12" t="str">
            <v>9.23%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0683-33FE-4A7C-9B93-563D2D4E4795}">
  <dimension ref="B1:L13"/>
  <sheetViews>
    <sheetView workbookViewId="0">
      <selection activeCell="I10" sqref="I10"/>
    </sheetView>
  </sheetViews>
  <sheetFormatPr defaultRowHeight="15" x14ac:dyDescent="0.25"/>
  <cols>
    <col min="1" max="1" width="2" customWidth="1"/>
    <col min="2" max="2" width="28" customWidth="1"/>
    <col min="3" max="3" width="32" customWidth="1"/>
    <col min="4" max="4" width="26" customWidth="1"/>
    <col min="5" max="5" width="63.42578125" bestFit="1" customWidth="1"/>
    <col min="6" max="6" width="14" customWidth="1"/>
    <col min="7" max="7" width="4.85546875" customWidth="1"/>
    <col min="8" max="8" width="3.42578125" customWidth="1"/>
    <col min="9" max="9" width="11.42578125" customWidth="1"/>
    <col min="10" max="10" width="3" customWidth="1"/>
  </cols>
  <sheetData>
    <row r="1" spans="2:12" ht="9.9499999999999993" customHeight="1" x14ac:dyDescent="0.25"/>
    <row r="2" spans="2:12" ht="18" x14ac:dyDescent="0.25">
      <c r="B2" s="52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2:12" ht="9.9499999999999993" customHeight="1" x14ac:dyDescent="0.25"/>
    <row r="4" spans="2:12" ht="18" customHeight="1" x14ac:dyDescent="0.25">
      <c r="B4" s="53" t="s">
        <v>1</v>
      </c>
      <c r="C4" s="45"/>
      <c r="D4" s="54" t="s">
        <v>2</v>
      </c>
      <c r="E4" s="45"/>
      <c r="F4" s="54" t="s">
        <v>3</v>
      </c>
      <c r="G4" s="45"/>
      <c r="H4" s="55" t="s">
        <v>4</v>
      </c>
      <c r="I4" s="45"/>
    </row>
    <row r="5" spans="2:12" ht="20.25" x14ac:dyDescent="0.25">
      <c r="B5" s="56">
        <v>1470</v>
      </c>
      <c r="C5" s="45"/>
      <c r="D5" s="57">
        <v>237</v>
      </c>
      <c r="E5" s="45"/>
      <c r="F5" s="57" t="s">
        <v>5</v>
      </c>
      <c r="G5" s="45"/>
      <c r="H5" s="58">
        <v>1233</v>
      </c>
      <c r="I5" s="45"/>
    </row>
    <row r="6" spans="2:12" ht="8.1" customHeight="1" x14ac:dyDescent="0.25">
      <c r="B6" s="49"/>
      <c r="C6" s="45"/>
      <c r="D6" s="50"/>
      <c r="E6" s="45"/>
      <c r="F6" s="50"/>
      <c r="G6" s="45"/>
      <c r="H6" s="51"/>
      <c r="I6" s="45"/>
    </row>
    <row r="7" spans="2:12" ht="15" customHeight="1" x14ac:dyDescent="0.25"/>
    <row r="8" spans="2:12" x14ac:dyDescent="0.25">
      <c r="B8" s="1" t="s">
        <v>6</v>
      </c>
      <c r="C8" s="1" t="s">
        <v>7</v>
      </c>
      <c r="D8" s="1" t="s">
        <v>8</v>
      </c>
      <c r="E8" s="1" t="s">
        <v>9</v>
      </c>
    </row>
    <row r="9" spans="2:12" ht="27.95" customHeight="1" x14ac:dyDescent="0.25">
      <c r="B9" s="2" t="s">
        <v>10</v>
      </c>
      <c r="C9" s="3" t="s">
        <v>11</v>
      </c>
      <c r="D9" s="4" t="s">
        <v>12</v>
      </c>
      <c r="E9" s="3" t="s">
        <v>13</v>
      </c>
    </row>
    <row r="10" spans="2:12" ht="27.95" customHeight="1" x14ac:dyDescent="0.25">
      <c r="B10" s="5" t="s">
        <v>14</v>
      </c>
      <c r="C10" s="6" t="s">
        <v>15</v>
      </c>
      <c r="D10" s="7" t="s">
        <v>16</v>
      </c>
      <c r="E10" s="6" t="s">
        <v>17</v>
      </c>
    </row>
    <row r="11" spans="2:12" ht="27.95" customHeight="1" x14ac:dyDescent="0.25">
      <c r="B11" s="2" t="s">
        <v>18</v>
      </c>
      <c r="C11" s="3" t="s">
        <v>19</v>
      </c>
      <c r="D11" s="4" t="s">
        <v>20</v>
      </c>
      <c r="E11" s="3" t="s">
        <v>21</v>
      </c>
    </row>
    <row r="12" spans="2:12" ht="27.95" customHeight="1" x14ac:dyDescent="0.25">
      <c r="B12" s="5" t="s">
        <v>22</v>
      </c>
      <c r="C12" s="6" t="s">
        <v>23</v>
      </c>
      <c r="D12" s="7" t="s">
        <v>24</v>
      </c>
      <c r="E12" s="6" t="s">
        <v>25</v>
      </c>
    </row>
    <row r="13" spans="2:12" ht="27.95" customHeight="1" x14ac:dyDescent="0.25">
      <c r="B13" s="2" t="s">
        <v>26</v>
      </c>
      <c r="C13" s="3" t="s">
        <v>27</v>
      </c>
      <c r="D13" s="4" t="s">
        <v>28</v>
      </c>
      <c r="E13" s="3" t="s">
        <v>29</v>
      </c>
    </row>
  </sheetData>
  <mergeCells count="13">
    <mergeCell ref="B6:C6"/>
    <mergeCell ref="D6:E6"/>
    <mergeCell ref="F6:G6"/>
    <mergeCell ref="H6:I6"/>
    <mergeCell ref="B2:L2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2446-9716-4F6B-A627-1D956C960303}">
  <dimension ref="B2:H29"/>
  <sheetViews>
    <sheetView workbookViewId="0">
      <selection activeCell="I6" sqref="I6"/>
    </sheetView>
  </sheetViews>
  <sheetFormatPr defaultRowHeight="15" x14ac:dyDescent="0.25"/>
  <cols>
    <col min="1" max="1" width="2" customWidth="1"/>
    <col min="2" max="2" width="8" customWidth="1"/>
    <col min="3" max="3" width="24" customWidth="1"/>
    <col min="4" max="4" width="20" customWidth="1"/>
    <col min="5" max="5" width="28" customWidth="1"/>
    <col min="6" max="6" width="42" customWidth="1"/>
    <col min="7" max="7" width="40" customWidth="1"/>
  </cols>
  <sheetData>
    <row r="2" spans="2:8" ht="32.1" customHeight="1" x14ac:dyDescent="0.25">
      <c r="B2" s="59" t="s">
        <v>55</v>
      </c>
      <c r="C2" s="45"/>
      <c r="D2" s="45"/>
      <c r="E2" s="45"/>
      <c r="F2" s="45"/>
      <c r="G2" s="45"/>
      <c r="H2" s="45"/>
    </row>
    <row r="3" spans="2:8" ht="18" customHeight="1" x14ac:dyDescent="0.25">
      <c r="B3" s="60" t="s">
        <v>56</v>
      </c>
      <c r="C3" s="45"/>
      <c r="D3" s="45"/>
      <c r="E3" s="45"/>
      <c r="F3" s="45"/>
      <c r="G3" s="45"/>
      <c r="H3" s="45"/>
    </row>
    <row r="5" spans="2:8" ht="21.95" customHeight="1" x14ac:dyDescent="0.25">
      <c r="B5" s="1" t="s">
        <v>57</v>
      </c>
      <c r="C5" s="1" t="s">
        <v>31</v>
      </c>
      <c r="D5" s="1" t="s">
        <v>58</v>
      </c>
      <c r="E5" s="1" t="s">
        <v>59</v>
      </c>
      <c r="F5" s="1" t="s">
        <v>60</v>
      </c>
      <c r="G5" s="1" t="s">
        <v>61</v>
      </c>
    </row>
    <row r="6" spans="2:8" ht="36" customHeight="1" x14ac:dyDescent="0.25">
      <c r="B6" s="17" t="s">
        <v>62</v>
      </c>
      <c r="C6" s="18" t="s">
        <v>35</v>
      </c>
      <c r="D6" s="19">
        <v>-0.1711</v>
      </c>
      <c r="E6" s="20" t="s">
        <v>63</v>
      </c>
      <c r="F6" s="21" t="s">
        <v>64</v>
      </c>
      <c r="G6" s="21" t="s">
        <v>65</v>
      </c>
    </row>
    <row r="7" spans="2:8" ht="36" customHeight="1" x14ac:dyDescent="0.25">
      <c r="B7" s="22" t="s">
        <v>66</v>
      </c>
      <c r="C7" s="23" t="s">
        <v>37</v>
      </c>
      <c r="D7" s="24">
        <v>-0.1691</v>
      </c>
      <c r="E7" s="25" t="s">
        <v>63</v>
      </c>
      <c r="F7" s="26" t="s">
        <v>67</v>
      </c>
      <c r="G7" s="26" t="s">
        <v>68</v>
      </c>
    </row>
    <row r="8" spans="2:8" ht="36" customHeight="1" x14ac:dyDescent="0.25">
      <c r="B8" s="27" t="s">
        <v>69</v>
      </c>
      <c r="C8" s="2" t="s">
        <v>38</v>
      </c>
      <c r="D8" s="9">
        <v>-0.1605</v>
      </c>
      <c r="E8" s="28" t="s">
        <v>63</v>
      </c>
      <c r="F8" s="3" t="s">
        <v>70</v>
      </c>
      <c r="G8" s="3" t="s">
        <v>71</v>
      </c>
    </row>
    <row r="9" spans="2:8" x14ac:dyDescent="0.25">
      <c r="B9" s="29"/>
      <c r="C9" s="29"/>
      <c r="D9" s="29"/>
      <c r="E9" s="29"/>
      <c r="F9" s="29"/>
      <c r="G9" s="29"/>
    </row>
    <row r="11" spans="2:8" x14ac:dyDescent="0.25">
      <c r="B11" s="61" t="s">
        <v>30</v>
      </c>
      <c r="C11" s="45"/>
      <c r="D11" s="45"/>
      <c r="E11" s="45"/>
      <c r="F11" s="45"/>
      <c r="G11" s="45"/>
    </row>
    <row r="12" spans="2:8" x14ac:dyDescent="0.25">
      <c r="B12" s="8" t="s">
        <v>31</v>
      </c>
      <c r="C12" s="8" t="s">
        <v>32</v>
      </c>
      <c r="D12" s="8" t="s">
        <v>33</v>
      </c>
      <c r="E12" s="8" t="s">
        <v>34</v>
      </c>
    </row>
    <row r="13" spans="2:8" x14ac:dyDescent="0.25">
      <c r="B13" s="3" t="s">
        <v>35</v>
      </c>
      <c r="C13" s="9">
        <v>-0.1711</v>
      </c>
      <c r="D13" s="9">
        <v>0.1711</v>
      </c>
      <c r="E13" s="10" t="s">
        <v>36</v>
      </c>
    </row>
    <row r="14" spans="2:8" x14ac:dyDescent="0.25">
      <c r="B14" s="6" t="s">
        <v>37</v>
      </c>
      <c r="C14" s="11">
        <v>-0.1691</v>
      </c>
      <c r="D14" s="11">
        <v>0.1691</v>
      </c>
      <c r="E14" s="12" t="s">
        <v>36</v>
      </c>
    </row>
    <row r="15" spans="2:8" x14ac:dyDescent="0.25">
      <c r="B15" s="3" t="s">
        <v>38</v>
      </c>
      <c r="C15" s="9">
        <v>-0.1605</v>
      </c>
      <c r="D15" s="9">
        <v>0.1605</v>
      </c>
      <c r="E15" s="10" t="s">
        <v>36</v>
      </c>
    </row>
    <row r="16" spans="2:8" x14ac:dyDescent="0.25">
      <c r="B16" s="6" t="s">
        <v>39</v>
      </c>
      <c r="C16" s="11">
        <v>-0.1598</v>
      </c>
      <c r="D16" s="11">
        <v>0.1598</v>
      </c>
      <c r="E16" s="12" t="s">
        <v>36</v>
      </c>
    </row>
    <row r="17" spans="2:5" x14ac:dyDescent="0.25">
      <c r="B17" s="3" t="s">
        <v>40</v>
      </c>
      <c r="C17" s="9">
        <v>-0.15920000000000001</v>
      </c>
      <c r="D17" s="9">
        <v>0.15920000000000001</v>
      </c>
      <c r="E17" s="10" t="s">
        <v>36</v>
      </c>
    </row>
    <row r="18" spans="2:5" x14ac:dyDescent="0.25">
      <c r="B18" s="6" t="s">
        <v>41</v>
      </c>
      <c r="C18" s="11">
        <v>-0.15620000000000001</v>
      </c>
      <c r="D18" s="11">
        <v>0.15620000000000001</v>
      </c>
      <c r="E18" s="12" t="s">
        <v>36</v>
      </c>
    </row>
    <row r="19" spans="2:5" x14ac:dyDescent="0.25">
      <c r="B19" s="3" t="s">
        <v>42</v>
      </c>
      <c r="C19" s="9">
        <v>-0.1371</v>
      </c>
      <c r="D19" s="9">
        <v>0.1371</v>
      </c>
      <c r="E19" s="13" t="s">
        <v>43</v>
      </c>
    </row>
    <row r="20" spans="2:5" x14ac:dyDescent="0.25">
      <c r="B20" s="6" t="s">
        <v>44</v>
      </c>
      <c r="C20" s="11">
        <v>-0.13439999999999999</v>
      </c>
      <c r="D20" s="11">
        <v>0.13439999999999999</v>
      </c>
      <c r="E20" s="14" t="s">
        <v>43</v>
      </c>
    </row>
    <row r="21" spans="2:5" x14ac:dyDescent="0.25">
      <c r="B21" s="3" t="s">
        <v>45</v>
      </c>
      <c r="C21" s="9">
        <v>-0.13</v>
      </c>
      <c r="D21" s="9">
        <v>0.13</v>
      </c>
      <c r="E21" s="13" t="s">
        <v>43</v>
      </c>
    </row>
    <row r="22" spans="2:5" x14ac:dyDescent="0.25">
      <c r="B22" s="6" t="s">
        <v>46</v>
      </c>
      <c r="C22" s="11">
        <v>-0.10349999999999999</v>
      </c>
      <c r="D22" s="11">
        <v>0.10349999999999999</v>
      </c>
      <c r="E22" s="14" t="s">
        <v>43</v>
      </c>
    </row>
    <row r="23" spans="2:5" x14ac:dyDescent="0.25">
      <c r="B23" s="3" t="s">
        <v>47</v>
      </c>
      <c r="C23" s="9">
        <v>-0.10340000000000001</v>
      </c>
      <c r="D23" s="9">
        <v>0.10340000000000001</v>
      </c>
      <c r="E23" s="13" t="s">
        <v>43</v>
      </c>
    </row>
    <row r="24" spans="2:5" x14ac:dyDescent="0.25">
      <c r="B24" s="6" t="s">
        <v>48</v>
      </c>
      <c r="C24" s="11">
        <v>7.7899999999999997E-2</v>
      </c>
      <c r="D24" s="11">
        <v>7.7899999999999997E-2</v>
      </c>
      <c r="E24" s="15" t="s">
        <v>49</v>
      </c>
    </row>
    <row r="25" spans="2:5" x14ac:dyDescent="0.25">
      <c r="B25" s="3" t="s">
        <v>50</v>
      </c>
      <c r="C25" s="9">
        <v>-6.3899999999999998E-2</v>
      </c>
      <c r="D25" s="9">
        <v>6.3899999999999998E-2</v>
      </c>
      <c r="E25" s="16" t="s">
        <v>49</v>
      </c>
    </row>
    <row r="26" spans="2:5" x14ac:dyDescent="0.25">
      <c r="B26" s="6" t="s">
        <v>51</v>
      </c>
      <c r="C26" s="11">
        <v>-5.9499999999999997E-2</v>
      </c>
      <c r="D26" s="11">
        <v>5.9499999999999997E-2</v>
      </c>
      <c r="E26" s="15" t="s">
        <v>49</v>
      </c>
    </row>
    <row r="27" spans="2:5" x14ac:dyDescent="0.25">
      <c r="B27" s="3" t="s">
        <v>52</v>
      </c>
      <c r="C27" s="9">
        <v>4.3499999999999997E-2</v>
      </c>
      <c r="D27" s="9">
        <v>4.3499999999999997E-2</v>
      </c>
      <c r="E27" s="16" t="s">
        <v>49</v>
      </c>
    </row>
    <row r="28" spans="2:5" x14ac:dyDescent="0.25">
      <c r="B28" s="6" t="s">
        <v>53</v>
      </c>
      <c r="C28" s="11">
        <v>-3.3000000000000002E-2</v>
      </c>
      <c r="D28" s="11">
        <v>3.3000000000000002E-2</v>
      </c>
      <c r="E28" s="15" t="s">
        <v>49</v>
      </c>
    </row>
    <row r="29" spans="2:5" x14ac:dyDescent="0.25">
      <c r="B29" s="3" t="s">
        <v>54</v>
      </c>
      <c r="C29" s="9">
        <v>-1.35E-2</v>
      </c>
      <c r="D29" s="9">
        <v>1.35E-2</v>
      </c>
      <c r="E29" s="16" t="s">
        <v>49</v>
      </c>
    </row>
  </sheetData>
  <mergeCells count="3">
    <mergeCell ref="B2:H2"/>
    <mergeCell ref="B3:H3"/>
    <mergeCell ref="B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8E1D-192A-4CCD-8531-E75C494C3B59}">
  <dimension ref="B2:I16"/>
  <sheetViews>
    <sheetView workbookViewId="0">
      <selection activeCell="L11" sqref="L11"/>
    </sheetView>
  </sheetViews>
  <sheetFormatPr defaultRowHeight="15" x14ac:dyDescent="0.25"/>
  <cols>
    <col min="1" max="1" width="2" customWidth="1"/>
    <col min="2" max="2" width="20" customWidth="1"/>
    <col min="3" max="3" width="15" customWidth="1"/>
    <col min="4" max="4" width="18" customWidth="1"/>
    <col min="5" max="6" width="15" customWidth="1"/>
    <col min="7" max="7" width="18" customWidth="1"/>
    <col min="8" max="8" width="20" customWidth="1"/>
  </cols>
  <sheetData>
    <row r="2" spans="2:9" ht="16.5" x14ac:dyDescent="0.25">
      <c r="B2" s="59" t="s">
        <v>72</v>
      </c>
      <c r="C2" s="45"/>
      <c r="D2" s="45"/>
      <c r="E2" s="45"/>
      <c r="F2" s="45"/>
      <c r="G2" s="45"/>
      <c r="H2" s="45"/>
      <c r="I2" s="45"/>
    </row>
    <row r="3" spans="2:9" x14ac:dyDescent="0.25">
      <c r="B3" s="60" t="s">
        <v>73</v>
      </c>
      <c r="C3" s="45"/>
      <c r="D3" s="45"/>
      <c r="E3" s="45"/>
      <c r="F3" s="45"/>
      <c r="G3" s="45"/>
      <c r="H3" s="45"/>
      <c r="I3" s="45"/>
    </row>
    <row r="5" spans="2:9" ht="25.5" x14ac:dyDescent="0.25">
      <c r="B5" s="1" t="s">
        <v>74</v>
      </c>
      <c r="C5" s="1" t="s">
        <v>75</v>
      </c>
      <c r="D5" s="1" t="s">
        <v>1</v>
      </c>
      <c r="E5" s="1" t="s">
        <v>2</v>
      </c>
      <c r="F5" s="1" t="s">
        <v>4</v>
      </c>
      <c r="G5" s="1" t="s">
        <v>76</v>
      </c>
      <c r="H5" s="1" t="s">
        <v>77</v>
      </c>
    </row>
    <row r="6" spans="2:9" x14ac:dyDescent="0.25">
      <c r="B6" s="30">
        <v>1</v>
      </c>
      <c r="C6" s="6" t="s">
        <v>78</v>
      </c>
      <c r="D6" s="11">
        <v>83</v>
      </c>
      <c r="E6" s="12">
        <v>28</v>
      </c>
      <c r="F6" s="31">
        <v>55</v>
      </c>
      <c r="G6" s="12" t="s">
        <v>79</v>
      </c>
      <c r="H6" s="12" t="s">
        <v>80</v>
      </c>
    </row>
    <row r="7" spans="2:9" x14ac:dyDescent="0.25">
      <c r="B7" s="32">
        <v>2</v>
      </c>
      <c r="C7" s="3" t="s">
        <v>81</v>
      </c>
      <c r="D7" s="9">
        <v>375</v>
      </c>
      <c r="E7" s="10">
        <v>71</v>
      </c>
      <c r="F7" s="28">
        <v>304</v>
      </c>
      <c r="G7" s="33" t="s">
        <v>82</v>
      </c>
      <c r="H7" s="33" t="s">
        <v>83</v>
      </c>
    </row>
    <row r="8" spans="2:9" x14ac:dyDescent="0.25">
      <c r="B8" s="30">
        <v>3</v>
      </c>
      <c r="C8" s="6" t="s">
        <v>84</v>
      </c>
      <c r="D8" s="11">
        <v>868</v>
      </c>
      <c r="E8" s="12">
        <v>125</v>
      </c>
      <c r="F8" s="31">
        <v>743</v>
      </c>
      <c r="G8" s="34" t="s">
        <v>85</v>
      </c>
      <c r="H8" s="35" t="s">
        <v>43</v>
      </c>
    </row>
    <row r="9" spans="2:9" x14ac:dyDescent="0.25">
      <c r="B9" s="32">
        <v>4</v>
      </c>
      <c r="C9" s="3" t="s">
        <v>86</v>
      </c>
      <c r="D9" s="9">
        <v>144</v>
      </c>
      <c r="E9" s="10">
        <v>13</v>
      </c>
      <c r="F9" s="28">
        <v>131</v>
      </c>
      <c r="G9" s="36" t="s">
        <v>87</v>
      </c>
      <c r="H9" s="36" t="s">
        <v>88</v>
      </c>
    </row>
    <row r="11" spans="2:9" ht="36" customHeight="1" x14ac:dyDescent="0.25">
      <c r="B11" s="64" t="s">
        <v>89</v>
      </c>
      <c r="C11" s="45"/>
      <c r="D11" s="45"/>
      <c r="E11" s="45"/>
      <c r="F11" s="45"/>
      <c r="G11" s="45"/>
      <c r="H11" s="45"/>
    </row>
    <row r="13" spans="2:9" x14ac:dyDescent="0.25">
      <c r="B13" s="65" t="s">
        <v>90</v>
      </c>
      <c r="C13" s="63"/>
      <c r="D13" s="63"/>
      <c r="E13" s="63"/>
      <c r="F13" s="63"/>
      <c r="G13" s="63"/>
      <c r="H13" s="63"/>
    </row>
    <row r="14" spans="2:9" ht="21.95" customHeight="1" x14ac:dyDescent="0.25">
      <c r="B14" s="62" t="s">
        <v>91</v>
      </c>
      <c r="C14" s="63"/>
      <c r="D14" s="63"/>
      <c r="E14" s="63"/>
      <c r="F14" s="63"/>
      <c r="G14" s="63"/>
      <c r="H14" s="63"/>
    </row>
    <row r="15" spans="2:9" ht="21.95" customHeight="1" x14ac:dyDescent="0.25">
      <c r="B15" s="66" t="s">
        <v>92</v>
      </c>
      <c r="C15" s="63"/>
      <c r="D15" s="63"/>
      <c r="E15" s="63"/>
      <c r="F15" s="63"/>
      <c r="G15" s="63"/>
      <c r="H15" s="63"/>
    </row>
    <row r="16" spans="2:9" ht="21.95" customHeight="1" x14ac:dyDescent="0.25">
      <c r="B16" s="62" t="s">
        <v>93</v>
      </c>
      <c r="C16" s="63"/>
      <c r="D16" s="63"/>
      <c r="E16" s="63"/>
      <c r="F16" s="63"/>
      <c r="G16" s="63"/>
      <c r="H16" s="63"/>
    </row>
  </sheetData>
  <mergeCells count="7">
    <mergeCell ref="B16:H16"/>
    <mergeCell ref="B2:I2"/>
    <mergeCell ref="B3:I3"/>
    <mergeCell ref="B11:H11"/>
    <mergeCell ref="B13:H13"/>
    <mergeCell ref="B14:H14"/>
    <mergeCell ref="B15:H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65F8-C512-4C5F-BA8F-18F3E2C64B25}">
  <dimension ref="B2:H19"/>
  <sheetViews>
    <sheetView workbookViewId="0">
      <selection activeCell="P11" sqref="O11:P11"/>
    </sheetView>
  </sheetViews>
  <sheetFormatPr defaultRowHeight="15" x14ac:dyDescent="0.25"/>
  <cols>
    <col min="1" max="1" width="2" customWidth="1"/>
    <col min="2" max="2" width="15" customWidth="1"/>
    <col min="3" max="3" width="18" customWidth="1"/>
    <col min="4" max="4" width="22" customWidth="1"/>
    <col min="5" max="6" width="10" customWidth="1"/>
    <col min="7" max="7" width="18" customWidth="1"/>
  </cols>
  <sheetData>
    <row r="2" spans="2:8" ht="16.5" x14ac:dyDescent="0.25">
      <c r="B2" s="59" t="s">
        <v>18</v>
      </c>
      <c r="C2" s="45"/>
      <c r="D2" s="45"/>
      <c r="E2" s="45"/>
      <c r="F2" s="45"/>
      <c r="G2" s="45"/>
      <c r="H2" s="45"/>
    </row>
    <row r="3" spans="2:8" x14ac:dyDescent="0.25">
      <c r="B3" s="60" t="s">
        <v>94</v>
      </c>
      <c r="C3" s="45"/>
      <c r="D3" s="45"/>
      <c r="E3" s="45"/>
      <c r="F3" s="45"/>
      <c r="G3" s="45"/>
      <c r="H3" s="45"/>
    </row>
    <row r="5" spans="2:8" x14ac:dyDescent="0.2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76</v>
      </c>
    </row>
    <row r="6" spans="2:8" x14ac:dyDescent="0.25">
      <c r="B6" s="32" t="s">
        <v>100</v>
      </c>
      <c r="C6" s="9">
        <v>115</v>
      </c>
      <c r="D6" s="4">
        <v>2.7</v>
      </c>
      <c r="E6" s="9">
        <v>1</v>
      </c>
      <c r="F6" s="9">
        <v>4</v>
      </c>
      <c r="G6" s="37" t="s">
        <v>101</v>
      </c>
    </row>
    <row r="7" spans="2:8" x14ac:dyDescent="0.25">
      <c r="B7" s="30" t="s">
        <v>102</v>
      </c>
      <c r="C7" s="11">
        <v>263</v>
      </c>
      <c r="D7" s="7">
        <v>2.69</v>
      </c>
      <c r="E7" s="11">
        <v>1</v>
      </c>
      <c r="F7" s="11">
        <v>4</v>
      </c>
      <c r="G7" s="38" t="s">
        <v>103</v>
      </c>
    </row>
    <row r="8" spans="2:8" x14ac:dyDescent="0.25">
      <c r="B8" s="32" t="s">
        <v>104</v>
      </c>
      <c r="C8" s="9">
        <v>343</v>
      </c>
      <c r="D8" s="4">
        <v>2.78</v>
      </c>
      <c r="E8" s="9">
        <v>1</v>
      </c>
      <c r="F8" s="9">
        <v>4</v>
      </c>
      <c r="G8" s="28" t="s">
        <v>105</v>
      </c>
    </row>
    <row r="9" spans="2:8" x14ac:dyDescent="0.25">
      <c r="B9" s="30" t="s">
        <v>106</v>
      </c>
      <c r="C9" s="11">
        <v>276</v>
      </c>
      <c r="D9" s="7">
        <v>2.74</v>
      </c>
      <c r="E9" s="11">
        <v>1</v>
      </c>
      <c r="F9" s="11">
        <v>4</v>
      </c>
      <c r="G9" s="31" t="s">
        <v>107</v>
      </c>
    </row>
    <row r="10" spans="2:8" x14ac:dyDescent="0.25">
      <c r="B10" s="32" t="s">
        <v>108</v>
      </c>
      <c r="C10" s="9">
        <v>192</v>
      </c>
      <c r="D10" s="4">
        <v>2.72</v>
      </c>
      <c r="E10" s="9">
        <v>1</v>
      </c>
      <c r="F10" s="9">
        <v>4</v>
      </c>
      <c r="G10" s="28" t="s">
        <v>109</v>
      </c>
    </row>
    <row r="11" spans="2:8" x14ac:dyDescent="0.25">
      <c r="B11" s="30" t="s">
        <v>110</v>
      </c>
      <c r="C11" s="11">
        <v>130</v>
      </c>
      <c r="D11" s="7">
        <v>2.63</v>
      </c>
      <c r="E11" s="11">
        <v>1</v>
      </c>
      <c r="F11" s="11">
        <v>4</v>
      </c>
      <c r="G11" s="31" t="s">
        <v>111</v>
      </c>
    </row>
    <row r="12" spans="2:8" x14ac:dyDescent="0.25">
      <c r="B12" s="32" t="s">
        <v>112</v>
      </c>
      <c r="C12" s="9">
        <v>143</v>
      </c>
      <c r="D12" s="4">
        <v>2.76</v>
      </c>
      <c r="E12" s="9">
        <v>1</v>
      </c>
      <c r="F12" s="9">
        <v>4</v>
      </c>
      <c r="G12" s="28" t="s">
        <v>113</v>
      </c>
    </row>
    <row r="14" spans="2:8" ht="39.950000000000003" customHeight="1" x14ac:dyDescent="0.25">
      <c r="B14" s="68" t="s">
        <v>114</v>
      </c>
      <c r="C14" s="45"/>
      <c r="D14" s="45"/>
      <c r="E14" s="45"/>
      <c r="F14" s="45"/>
      <c r="G14" s="45"/>
      <c r="H14" s="45"/>
    </row>
    <row r="16" spans="2:8" x14ac:dyDescent="0.25">
      <c r="B16" s="69" t="s">
        <v>115</v>
      </c>
      <c r="C16" s="45"/>
      <c r="D16" s="45"/>
      <c r="E16" s="45"/>
      <c r="F16" s="45"/>
      <c r="G16" s="45"/>
      <c r="H16" s="45"/>
    </row>
    <row r="17" spans="2:8" ht="21.95" customHeight="1" x14ac:dyDescent="0.25">
      <c r="B17" s="67" t="s">
        <v>116</v>
      </c>
      <c r="C17" s="45"/>
      <c r="D17" s="45"/>
      <c r="E17" s="45"/>
      <c r="F17" s="45"/>
      <c r="G17" s="45"/>
      <c r="H17" s="45"/>
    </row>
    <row r="18" spans="2:8" ht="21.95" customHeight="1" x14ac:dyDescent="0.25">
      <c r="B18" s="70" t="s">
        <v>117</v>
      </c>
      <c r="C18" s="45"/>
      <c r="D18" s="45"/>
      <c r="E18" s="45"/>
      <c r="F18" s="45"/>
      <c r="G18" s="45"/>
      <c r="H18" s="45"/>
    </row>
    <row r="19" spans="2:8" ht="21.95" customHeight="1" x14ac:dyDescent="0.25">
      <c r="B19" s="67" t="s">
        <v>118</v>
      </c>
      <c r="C19" s="45"/>
      <c r="D19" s="45"/>
      <c r="E19" s="45"/>
      <c r="F19" s="45"/>
      <c r="G19" s="45"/>
      <c r="H19" s="45"/>
    </row>
  </sheetData>
  <mergeCells count="7">
    <mergeCell ref="B19:H19"/>
    <mergeCell ref="B2:H2"/>
    <mergeCell ref="B3:H3"/>
    <mergeCell ref="B14:H14"/>
    <mergeCell ref="B16:H16"/>
    <mergeCell ref="B17:H17"/>
    <mergeCell ref="B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B4F4-CFB1-4AC7-8CD0-169F2A64A1F1}">
  <dimension ref="B2:H15"/>
  <sheetViews>
    <sheetView workbookViewId="0">
      <selection sqref="A1:XFD1048576"/>
    </sheetView>
  </sheetViews>
  <sheetFormatPr defaultRowHeight="15" x14ac:dyDescent="0.25"/>
  <cols>
    <col min="1" max="1" width="2" customWidth="1"/>
    <col min="2" max="3" width="18" customWidth="1"/>
    <col min="4" max="5" width="15" customWidth="1"/>
    <col min="6" max="6" width="18" customWidth="1"/>
    <col min="7" max="7" width="22" customWidth="1"/>
    <col min="8" max="8" width="12" customWidth="1"/>
  </cols>
  <sheetData>
    <row r="2" spans="2:8" ht="16.5" x14ac:dyDescent="0.25">
      <c r="B2" s="59" t="s">
        <v>119</v>
      </c>
      <c r="C2" s="45"/>
      <c r="D2" s="45"/>
      <c r="E2" s="45"/>
      <c r="F2" s="45"/>
      <c r="G2" s="45"/>
      <c r="H2" s="45"/>
    </row>
    <row r="4" spans="2:8" x14ac:dyDescent="0.25">
      <c r="B4" s="1" t="s">
        <v>120</v>
      </c>
      <c r="C4" s="1" t="s">
        <v>1</v>
      </c>
      <c r="D4" s="1" t="s">
        <v>121</v>
      </c>
      <c r="E4" s="1" t="s">
        <v>122</v>
      </c>
      <c r="F4" s="1" t="s">
        <v>76</v>
      </c>
      <c r="G4" s="1" t="s">
        <v>123</v>
      </c>
      <c r="H4" s="1" t="s">
        <v>124</v>
      </c>
    </row>
    <row r="5" spans="2:8" x14ac:dyDescent="0.25">
      <c r="B5" s="2" t="s">
        <v>125</v>
      </c>
      <c r="C5" s="9">
        <v>327</v>
      </c>
      <c r="D5" s="37">
        <v>33</v>
      </c>
      <c r="E5" s="28">
        <v>294</v>
      </c>
      <c r="F5" s="36" t="s">
        <v>126</v>
      </c>
      <c r="G5" s="9" t="s">
        <v>127</v>
      </c>
      <c r="H5" s="9">
        <v>37.5</v>
      </c>
    </row>
    <row r="6" spans="2:8" x14ac:dyDescent="0.25">
      <c r="B6" s="5" t="s">
        <v>128</v>
      </c>
      <c r="C6" s="11">
        <v>673</v>
      </c>
      <c r="D6" s="38">
        <v>84</v>
      </c>
      <c r="E6" s="31">
        <v>589</v>
      </c>
      <c r="F6" s="35" t="s">
        <v>129</v>
      </c>
      <c r="G6" s="11" t="s">
        <v>130</v>
      </c>
      <c r="H6" s="11">
        <v>37.799999999999997</v>
      </c>
    </row>
    <row r="7" spans="2:8" x14ac:dyDescent="0.25">
      <c r="B7" s="2" t="s">
        <v>131</v>
      </c>
      <c r="C7" s="9">
        <v>470</v>
      </c>
      <c r="D7" s="37">
        <v>120</v>
      </c>
      <c r="E7" s="28">
        <v>350</v>
      </c>
      <c r="F7" s="10" t="s">
        <v>132</v>
      </c>
      <c r="G7" s="9" t="s">
        <v>133</v>
      </c>
      <c r="H7" s="9">
        <v>35.299999999999997</v>
      </c>
    </row>
    <row r="8" spans="2:8" x14ac:dyDescent="0.25">
      <c r="B8" s="29"/>
      <c r="C8" s="29"/>
      <c r="D8" s="29"/>
      <c r="E8" s="29"/>
      <c r="F8" s="29"/>
      <c r="G8" s="29"/>
      <c r="H8" s="29"/>
    </row>
    <row r="9" spans="2:8" ht="36" customHeight="1" x14ac:dyDescent="0.25">
      <c r="B9" s="64" t="s">
        <v>134</v>
      </c>
      <c r="C9" s="45"/>
      <c r="D9" s="45"/>
      <c r="E9" s="45"/>
      <c r="F9" s="45"/>
      <c r="G9" s="45"/>
      <c r="H9" s="45"/>
    </row>
    <row r="11" spans="2:8" x14ac:dyDescent="0.25">
      <c r="B11" s="69" t="s">
        <v>135</v>
      </c>
      <c r="C11" s="45"/>
      <c r="D11" s="45"/>
      <c r="E11" s="45"/>
      <c r="F11" s="45"/>
      <c r="G11" s="45"/>
      <c r="H11" s="45"/>
    </row>
    <row r="12" spans="2:8" ht="21.95" customHeight="1" x14ac:dyDescent="0.25">
      <c r="B12" s="67" t="s">
        <v>136</v>
      </c>
      <c r="C12" s="45"/>
      <c r="D12" s="45"/>
      <c r="E12" s="45"/>
      <c r="F12" s="45"/>
      <c r="G12" s="45"/>
      <c r="H12" s="45"/>
    </row>
    <row r="13" spans="2:8" ht="21.95" customHeight="1" x14ac:dyDescent="0.25">
      <c r="B13" s="70" t="s">
        <v>137</v>
      </c>
      <c r="C13" s="45"/>
      <c r="D13" s="45"/>
      <c r="E13" s="45"/>
      <c r="F13" s="45"/>
      <c r="G13" s="45"/>
      <c r="H13" s="45"/>
    </row>
    <row r="14" spans="2:8" ht="21.95" customHeight="1" x14ac:dyDescent="0.25">
      <c r="B14" s="67" t="s">
        <v>138</v>
      </c>
      <c r="C14" s="45"/>
      <c r="D14" s="45"/>
      <c r="E14" s="45"/>
      <c r="F14" s="45"/>
      <c r="G14" s="45"/>
      <c r="H14" s="45"/>
    </row>
    <row r="15" spans="2:8" ht="21.95" customHeight="1" x14ac:dyDescent="0.25">
      <c r="B15" s="70" t="s">
        <v>139</v>
      </c>
      <c r="C15" s="45"/>
      <c r="D15" s="45"/>
      <c r="E15" s="45"/>
      <c r="F15" s="45"/>
      <c r="G15" s="45"/>
      <c r="H15" s="45"/>
    </row>
  </sheetData>
  <mergeCells count="7">
    <mergeCell ref="B15:H15"/>
    <mergeCell ref="B2:H2"/>
    <mergeCell ref="B9:H9"/>
    <mergeCell ref="B11:H11"/>
    <mergeCell ref="B12:H12"/>
    <mergeCell ref="B13:H13"/>
    <mergeCell ref="B14:H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D8D-D28F-4BAA-921B-C1FAD9EE2ABC}">
  <dimension ref="B2:H20"/>
  <sheetViews>
    <sheetView workbookViewId="0">
      <selection activeCell="K5" sqref="K5"/>
    </sheetView>
  </sheetViews>
  <sheetFormatPr defaultRowHeight="15" x14ac:dyDescent="0.25"/>
  <cols>
    <col min="1" max="1" width="2" customWidth="1"/>
    <col min="2" max="2" width="20" customWidth="1"/>
    <col min="3" max="3" width="18" customWidth="1"/>
    <col min="4" max="5" width="12" customWidth="1"/>
    <col min="6" max="7" width="18" customWidth="1"/>
  </cols>
  <sheetData>
    <row r="2" spans="2:8" ht="16.5" x14ac:dyDescent="0.25">
      <c r="B2" s="59" t="s">
        <v>140</v>
      </c>
      <c r="C2" s="45"/>
      <c r="D2" s="45"/>
      <c r="E2" s="45"/>
      <c r="F2" s="45"/>
      <c r="G2" s="45"/>
      <c r="H2" s="45"/>
    </row>
    <row r="3" spans="2:8" x14ac:dyDescent="0.25">
      <c r="B3" s="60" t="s">
        <v>141</v>
      </c>
      <c r="C3" s="45"/>
      <c r="D3" s="45"/>
      <c r="E3" s="45"/>
      <c r="F3" s="45"/>
      <c r="G3" s="45"/>
      <c r="H3" s="45"/>
    </row>
    <row r="5" spans="2:8" x14ac:dyDescent="0.25">
      <c r="B5" s="1" t="s">
        <v>142</v>
      </c>
      <c r="C5" s="1" t="s">
        <v>1</v>
      </c>
      <c r="D5" s="1" t="s">
        <v>143</v>
      </c>
      <c r="E5" s="1" t="s">
        <v>144</v>
      </c>
      <c r="F5" s="1" t="s">
        <v>76</v>
      </c>
      <c r="G5" s="1" t="s">
        <v>145</v>
      </c>
    </row>
    <row r="6" spans="2:8" x14ac:dyDescent="0.25">
      <c r="B6" s="32">
        <v>0</v>
      </c>
      <c r="C6" s="9">
        <v>54</v>
      </c>
      <c r="D6" s="37">
        <v>15</v>
      </c>
      <c r="E6" s="28">
        <v>39</v>
      </c>
      <c r="F6" s="10" t="s">
        <v>146</v>
      </c>
      <c r="G6" s="10" t="s">
        <v>83</v>
      </c>
    </row>
    <row r="7" spans="2:8" x14ac:dyDescent="0.25">
      <c r="B7" s="30">
        <v>1</v>
      </c>
      <c r="C7" s="11">
        <v>71</v>
      </c>
      <c r="D7" s="38">
        <v>9</v>
      </c>
      <c r="E7" s="31">
        <v>62</v>
      </c>
      <c r="F7" s="7" t="s">
        <v>147</v>
      </c>
      <c r="G7" s="7" t="s">
        <v>148</v>
      </c>
    </row>
    <row r="8" spans="2:8" x14ac:dyDescent="0.25">
      <c r="B8" s="32">
        <v>2</v>
      </c>
      <c r="C8" s="9">
        <v>547</v>
      </c>
      <c r="D8" s="37">
        <v>98</v>
      </c>
      <c r="E8" s="28">
        <v>449</v>
      </c>
      <c r="F8" s="33" t="s">
        <v>149</v>
      </c>
      <c r="G8" s="33" t="s">
        <v>150</v>
      </c>
    </row>
    <row r="9" spans="2:8" x14ac:dyDescent="0.25">
      <c r="B9" s="30">
        <v>3</v>
      </c>
      <c r="C9" s="11">
        <v>491</v>
      </c>
      <c r="D9" s="38">
        <v>69</v>
      </c>
      <c r="E9" s="31">
        <v>422</v>
      </c>
      <c r="F9" s="7" t="s">
        <v>151</v>
      </c>
      <c r="G9" s="7" t="s">
        <v>148</v>
      </c>
    </row>
    <row r="10" spans="2:8" x14ac:dyDescent="0.25">
      <c r="B10" s="32">
        <v>4</v>
      </c>
      <c r="C10" s="9">
        <v>123</v>
      </c>
      <c r="D10" s="37">
        <v>26</v>
      </c>
      <c r="E10" s="28">
        <v>97</v>
      </c>
      <c r="F10" s="33" t="s">
        <v>152</v>
      </c>
      <c r="G10" s="33" t="s">
        <v>150</v>
      </c>
    </row>
    <row r="11" spans="2:8" x14ac:dyDescent="0.25">
      <c r="B11" s="30">
        <v>5</v>
      </c>
      <c r="C11" s="11">
        <v>119</v>
      </c>
      <c r="D11" s="38">
        <v>14</v>
      </c>
      <c r="E11" s="31">
        <v>105</v>
      </c>
      <c r="F11" s="34" t="s">
        <v>153</v>
      </c>
      <c r="G11" s="34" t="s">
        <v>88</v>
      </c>
    </row>
    <row r="12" spans="2:8" x14ac:dyDescent="0.25">
      <c r="B12" s="32">
        <v>6</v>
      </c>
      <c r="C12" s="9">
        <v>65</v>
      </c>
      <c r="D12" s="37">
        <v>6</v>
      </c>
      <c r="E12" s="28">
        <v>59</v>
      </c>
      <c r="F12" s="36" t="s">
        <v>154</v>
      </c>
      <c r="G12" s="36" t="s">
        <v>88</v>
      </c>
    </row>
    <row r="14" spans="2:8" ht="36" customHeight="1" x14ac:dyDescent="0.25">
      <c r="B14" s="71" t="s">
        <v>155</v>
      </c>
      <c r="C14" s="45"/>
      <c r="D14" s="45"/>
      <c r="E14" s="45"/>
      <c r="F14" s="45"/>
      <c r="G14" s="45"/>
      <c r="H14" s="45"/>
    </row>
    <row r="16" spans="2:8" x14ac:dyDescent="0.25">
      <c r="B16" s="69" t="s">
        <v>90</v>
      </c>
      <c r="C16" s="45"/>
      <c r="D16" s="45"/>
      <c r="E16" s="45"/>
      <c r="F16" s="45"/>
      <c r="G16" s="45"/>
      <c r="H16" s="45"/>
    </row>
    <row r="17" spans="2:8" ht="24" customHeight="1" x14ac:dyDescent="0.25">
      <c r="B17" s="67" t="s">
        <v>156</v>
      </c>
      <c r="C17" s="45"/>
      <c r="D17" s="45"/>
      <c r="E17" s="45"/>
      <c r="F17" s="45"/>
      <c r="G17" s="45"/>
      <c r="H17" s="45"/>
    </row>
    <row r="18" spans="2:8" ht="24" customHeight="1" x14ac:dyDescent="0.25">
      <c r="B18" s="70" t="s">
        <v>157</v>
      </c>
      <c r="C18" s="45"/>
      <c r="D18" s="45"/>
      <c r="E18" s="45"/>
      <c r="F18" s="45"/>
      <c r="G18" s="45"/>
      <c r="H18" s="45"/>
    </row>
    <row r="19" spans="2:8" ht="24" customHeight="1" x14ac:dyDescent="0.25">
      <c r="B19" s="67" t="s">
        <v>158</v>
      </c>
      <c r="C19" s="45"/>
      <c r="D19" s="45"/>
      <c r="E19" s="45"/>
      <c r="F19" s="45"/>
      <c r="G19" s="45"/>
      <c r="H19" s="45"/>
    </row>
    <row r="20" spans="2:8" ht="24" customHeight="1" x14ac:dyDescent="0.25">
      <c r="B20" s="70" t="s">
        <v>159</v>
      </c>
      <c r="C20" s="45"/>
      <c r="D20" s="45"/>
      <c r="E20" s="45"/>
      <c r="F20" s="45"/>
      <c r="G20" s="45"/>
      <c r="H20" s="45"/>
    </row>
  </sheetData>
  <mergeCells count="8">
    <mergeCell ref="B19:H19"/>
    <mergeCell ref="B20:H20"/>
    <mergeCell ref="B2:H2"/>
    <mergeCell ref="B3:H3"/>
    <mergeCell ref="B14:H14"/>
    <mergeCell ref="B16:H16"/>
    <mergeCell ref="B17:H17"/>
    <mergeCell ref="B18:H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B024-3B66-48A4-B9A8-5D404B269ED1}">
  <dimension ref="A1:E15"/>
  <sheetViews>
    <sheetView workbookViewId="0">
      <selection activeCell="F12" sqref="F12"/>
    </sheetView>
  </sheetViews>
  <sheetFormatPr defaultRowHeight="15" x14ac:dyDescent="0.25"/>
  <cols>
    <col min="1" max="3" width="12" customWidth="1"/>
    <col min="4" max="4" width="22" customWidth="1"/>
    <col min="5" max="5" width="15" customWidth="1"/>
  </cols>
  <sheetData>
    <row r="1" spans="1:5" ht="18.75" x14ac:dyDescent="0.25">
      <c r="A1" s="46" t="s">
        <v>160</v>
      </c>
      <c r="B1" s="45"/>
      <c r="C1" s="45"/>
      <c r="D1" s="45"/>
      <c r="E1" s="45"/>
    </row>
    <row r="2" spans="1:5" x14ac:dyDescent="0.25">
      <c r="A2" s="44" t="s">
        <v>161</v>
      </c>
      <c r="B2" s="45"/>
      <c r="C2" s="45"/>
      <c r="D2" s="45"/>
      <c r="E2" s="45"/>
    </row>
    <row r="4" spans="1:5" ht="30" x14ac:dyDescent="0.25">
      <c r="A4" s="39" t="s">
        <v>162</v>
      </c>
      <c r="B4" s="39" t="s">
        <v>75</v>
      </c>
      <c r="C4" s="39" t="s">
        <v>163</v>
      </c>
      <c r="D4" s="39" t="s">
        <v>164</v>
      </c>
      <c r="E4" s="39" t="s">
        <v>165</v>
      </c>
    </row>
    <row r="5" spans="1:5" x14ac:dyDescent="0.25">
      <c r="A5" s="40">
        <v>1</v>
      </c>
      <c r="B5" s="41" t="s">
        <v>166</v>
      </c>
      <c r="C5" s="40">
        <v>80</v>
      </c>
      <c r="D5" s="40">
        <v>3.18</v>
      </c>
      <c r="E5" s="40" t="s">
        <v>167</v>
      </c>
    </row>
    <row r="6" spans="1:5" x14ac:dyDescent="0.25">
      <c r="A6" s="42">
        <v>2</v>
      </c>
      <c r="B6" s="43" t="s">
        <v>168</v>
      </c>
      <c r="C6" s="42">
        <v>344</v>
      </c>
      <c r="D6" s="42">
        <v>3.14</v>
      </c>
      <c r="E6" s="42" t="s">
        <v>169</v>
      </c>
    </row>
    <row r="7" spans="1:5" x14ac:dyDescent="0.25">
      <c r="A7" s="40">
        <v>3</v>
      </c>
      <c r="B7" s="41" t="s">
        <v>170</v>
      </c>
      <c r="C7" s="40">
        <v>893</v>
      </c>
      <c r="D7" s="40">
        <v>3.16</v>
      </c>
      <c r="E7" s="40" t="s">
        <v>171</v>
      </c>
    </row>
    <row r="8" spans="1:5" x14ac:dyDescent="0.25">
      <c r="A8" s="42">
        <v>4</v>
      </c>
      <c r="B8" s="43" t="s">
        <v>172</v>
      </c>
      <c r="C8" s="42">
        <v>153</v>
      </c>
      <c r="D8" s="42">
        <v>3.15</v>
      </c>
      <c r="E8" s="42" t="s">
        <v>173</v>
      </c>
    </row>
    <row r="10" spans="1:5" x14ac:dyDescent="0.25">
      <c r="A10" s="72" t="s">
        <v>174</v>
      </c>
      <c r="B10" s="45"/>
      <c r="C10" s="45"/>
      <c r="D10" s="45"/>
      <c r="E10" s="45"/>
    </row>
    <row r="12" spans="1:5" x14ac:dyDescent="0.25">
      <c r="A12" s="48" t="s">
        <v>175</v>
      </c>
      <c r="B12" s="45"/>
      <c r="C12" s="45"/>
      <c r="D12" s="45"/>
      <c r="E12" s="45"/>
    </row>
    <row r="13" spans="1:5" x14ac:dyDescent="0.25">
      <c r="A13" s="44" t="s">
        <v>176</v>
      </c>
      <c r="B13" s="45"/>
      <c r="C13" s="45"/>
      <c r="D13" s="45"/>
      <c r="E13" s="45"/>
    </row>
    <row r="14" spans="1:5" x14ac:dyDescent="0.25">
      <c r="A14" s="44" t="s">
        <v>177</v>
      </c>
      <c r="B14" s="45"/>
      <c r="C14" s="45"/>
      <c r="D14" s="45"/>
      <c r="E14" s="45"/>
    </row>
    <row r="15" spans="1:5" x14ac:dyDescent="0.25">
      <c r="A15" s="44" t="s">
        <v>178</v>
      </c>
      <c r="B15" s="45"/>
      <c r="C15" s="45"/>
      <c r="D15" s="45"/>
      <c r="E15" s="45"/>
    </row>
  </sheetData>
  <mergeCells count="7">
    <mergeCell ref="A15:E15"/>
    <mergeCell ref="A1:E1"/>
    <mergeCell ref="A2:E2"/>
    <mergeCell ref="A10:E10"/>
    <mergeCell ref="A12:E12"/>
    <mergeCell ref="A13:E13"/>
    <mergeCell ref="A14:E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E7E7-F0AB-496D-A7AE-F2197710C433}">
  <dimension ref="A1:G16"/>
  <sheetViews>
    <sheetView workbookViewId="0">
      <selection activeCell="P11" sqref="P11"/>
    </sheetView>
  </sheetViews>
  <sheetFormatPr defaultRowHeight="15" x14ac:dyDescent="0.25"/>
  <cols>
    <col min="1" max="1" width="16" customWidth="1"/>
    <col min="2" max="2" width="12" customWidth="1"/>
    <col min="3" max="3" width="8" customWidth="1"/>
    <col min="4" max="4" width="10" customWidth="1"/>
    <col min="5" max="5" width="16" customWidth="1"/>
    <col min="6" max="6" width="18" customWidth="1"/>
  </cols>
  <sheetData>
    <row r="1" spans="1:7" ht="18.75" x14ac:dyDescent="0.25">
      <c r="A1" s="46" t="s">
        <v>179</v>
      </c>
      <c r="B1" s="45"/>
      <c r="C1" s="45"/>
      <c r="D1" s="45"/>
      <c r="E1" s="45"/>
      <c r="F1" s="45"/>
    </row>
    <row r="2" spans="1:7" x14ac:dyDescent="0.25">
      <c r="A2" s="44" t="s">
        <v>180</v>
      </c>
      <c r="B2" s="45"/>
      <c r="C2" s="45"/>
      <c r="D2" s="45"/>
      <c r="E2" s="45"/>
      <c r="F2" s="45"/>
    </row>
    <row r="4" spans="1:7" ht="30" x14ac:dyDescent="0.25">
      <c r="A4" s="39" t="s">
        <v>181</v>
      </c>
      <c r="B4" s="39" t="s">
        <v>163</v>
      </c>
      <c r="C4" s="39" t="s">
        <v>143</v>
      </c>
      <c r="D4" s="39" t="s">
        <v>144</v>
      </c>
      <c r="E4" s="39" t="s">
        <v>76</v>
      </c>
      <c r="F4" s="39" t="s">
        <v>123</v>
      </c>
    </row>
    <row r="5" spans="1:7" x14ac:dyDescent="0.25">
      <c r="A5" s="41">
        <v>0</v>
      </c>
      <c r="B5" s="40">
        <v>631</v>
      </c>
      <c r="C5" s="40">
        <v>154</v>
      </c>
      <c r="D5" s="40">
        <v>477</v>
      </c>
      <c r="E5" s="40" t="s">
        <v>182</v>
      </c>
      <c r="F5" s="40" t="s">
        <v>183</v>
      </c>
    </row>
    <row r="6" spans="1:7" x14ac:dyDescent="0.25">
      <c r="A6" s="43">
        <v>1</v>
      </c>
      <c r="B6" s="42">
        <v>596</v>
      </c>
      <c r="C6" s="42">
        <v>56</v>
      </c>
      <c r="D6" s="42">
        <v>540</v>
      </c>
      <c r="E6" s="42" t="s">
        <v>184</v>
      </c>
      <c r="F6" s="42" t="s">
        <v>185</v>
      </c>
    </row>
    <row r="7" spans="1:7" x14ac:dyDescent="0.25">
      <c r="A7" s="41">
        <v>2</v>
      </c>
      <c r="B7" s="40">
        <v>158</v>
      </c>
      <c r="C7" s="40">
        <v>12</v>
      </c>
      <c r="D7" s="40">
        <v>146</v>
      </c>
      <c r="E7" s="40" t="s">
        <v>186</v>
      </c>
      <c r="F7" s="40" t="s">
        <v>187</v>
      </c>
      <c r="G7" t="s">
        <v>188</v>
      </c>
    </row>
    <row r="8" spans="1:7" x14ac:dyDescent="0.25">
      <c r="A8" s="43">
        <v>3</v>
      </c>
      <c r="B8" s="42">
        <v>85</v>
      </c>
      <c r="C8" s="42">
        <v>15</v>
      </c>
      <c r="D8" s="42">
        <v>70</v>
      </c>
      <c r="E8" s="42" t="s">
        <v>189</v>
      </c>
      <c r="F8" s="42" t="s">
        <v>190</v>
      </c>
    </row>
    <row r="10" spans="1:7" x14ac:dyDescent="0.25">
      <c r="A10" s="47" t="s">
        <v>191</v>
      </c>
      <c r="B10" s="45"/>
      <c r="C10" s="45"/>
      <c r="D10" s="45"/>
      <c r="E10" s="45"/>
      <c r="F10" s="45"/>
    </row>
    <row r="12" spans="1:7" x14ac:dyDescent="0.25">
      <c r="A12" s="48" t="s">
        <v>175</v>
      </c>
      <c r="B12" s="45"/>
      <c r="C12" s="45"/>
      <c r="D12" s="45"/>
      <c r="E12" s="45"/>
      <c r="F12" s="45"/>
    </row>
    <row r="13" spans="1:7" x14ac:dyDescent="0.25">
      <c r="A13" s="44" t="s">
        <v>192</v>
      </c>
      <c r="B13" s="45"/>
      <c r="C13" s="45"/>
      <c r="D13" s="45"/>
      <c r="E13" s="45"/>
      <c r="F13" s="45"/>
    </row>
    <row r="14" spans="1:7" x14ac:dyDescent="0.25">
      <c r="A14" s="44" t="s">
        <v>193</v>
      </c>
      <c r="B14" s="45"/>
      <c r="C14" s="45"/>
      <c r="D14" s="45"/>
      <c r="E14" s="45"/>
      <c r="F14" s="45"/>
    </row>
    <row r="15" spans="1:7" x14ac:dyDescent="0.25">
      <c r="A15" s="44" t="s">
        <v>194</v>
      </c>
      <c r="B15" s="45"/>
      <c r="C15" s="45"/>
      <c r="D15" s="45"/>
      <c r="E15" s="45"/>
      <c r="F15" s="45"/>
    </row>
    <row r="16" spans="1:7" x14ac:dyDescent="0.25">
      <c r="A16" s="44" t="s">
        <v>195</v>
      </c>
      <c r="B16" s="45"/>
      <c r="C16" s="45"/>
      <c r="D16" s="45"/>
      <c r="E16" s="45"/>
      <c r="F16" s="45"/>
    </row>
  </sheetData>
  <mergeCells count="8">
    <mergeCell ref="A15:F15"/>
    <mergeCell ref="A16:F16"/>
    <mergeCell ref="A1:F1"/>
    <mergeCell ref="A2:F2"/>
    <mergeCell ref="A10:F10"/>
    <mergeCell ref="A12:F12"/>
    <mergeCell ref="A13:F13"/>
    <mergeCell ref="A14:F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C0B9-1641-46F3-8FC8-454AB03E427C}">
  <dimension ref="A1:E17"/>
  <sheetViews>
    <sheetView workbookViewId="0">
      <selection sqref="A1:XFD1048576"/>
    </sheetView>
  </sheetViews>
  <sheetFormatPr defaultRowHeight="15" x14ac:dyDescent="0.25"/>
  <cols>
    <col min="1" max="1" width="16" customWidth="1"/>
    <col min="2" max="2" width="12" customWidth="1"/>
    <col min="3" max="3" width="20" customWidth="1"/>
    <col min="4" max="4" width="16" customWidth="1"/>
    <col min="5" max="5" width="14" customWidth="1"/>
  </cols>
  <sheetData>
    <row r="1" spans="1:5" ht="18.75" x14ac:dyDescent="0.25">
      <c r="A1" s="46" t="s">
        <v>196</v>
      </c>
      <c r="B1" s="45"/>
      <c r="C1" s="45"/>
      <c r="D1" s="45"/>
      <c r="E1" s="45"/>
    </row>
    <row r="2" spans="1:5" x14ac:dyDescent="0.25">
      <c r="A2" s="44" t="s">
        <v>197</v>
      </c>
      <c r="B2" s="45"/>
      <c r="C2" s="45"/>
      <c r="D2" s="45"/>
      <c r="E2" s="45"/>
    </row>
    <row r="4" spans="1:5" ht="30" x14ac:dyDescent="0.25">
      <c r="A4" s="39" t="s">
        <v>198</v>
      </c>
      <c r="B4" s="39" t="s">
        <v>163</v>
      </c>
      <c r="C4" s="39" t="s">
        <v>97</v>
      </c>
      <c r="D4" s="39" t="s">
        <v>76</v>
      </c>
      <c r="E4" s="39" t="s">
        <v>165</v>
      </c>
    </row>
    <row r="5" spans="1:5" x14ac:dyDescent="0.25">
      <c r="A5" s="41" t="s">
        <v>199</v>
      </c>
      <c r="B5" s="40">
        <v>342</v>
      </c>
      <c r="C5" s="40">
        <v>2.76</v>
      </c>
      <c r="D5" s="40" t="s">
        <v>200</v>
      </c>
      <c r="E5" s="40" t="s">
        <v>201</v>
      </c>
    </row>
    <row r="6" spans="1:5" x14ac:dyDescent="0.25">
      <c r="A6" s="43" t="s">
        <v>202</v>
      </c>
      <c r="B6" s="42">
        <v>434</v>
      </c>
      <c r="C6" s="42">
        <v>2.66</v>
      </c>
      <c r="D6" s="42" t="s">
        <v>203</v>
      </c>
      <c r="E6" s="42" t="s">
        <v>204</v>
      </c>
    </row>
    <row r="7" spans="1:5" x14ac:dyDescent="0.25">
      <c r="A7" s="41" t="s">
        <v>205</v>
      </c>
      <c r="B7" s="40">
        <v>448</v>
      </c>
      <c r="C7" s="40">
        <v>2.77</v>
      </c>
      <c r="D7" s="40" t="s">
        <v>206</v>
      </c>
      <c r="E7" s="40" t="s">
        <v>207</v>
      </c>
    </row>
    <row r="8" spans="1:5" x14ac:dyDescent="0.25">
      <c r="A8" s="43" t="s">
        <v>208</v>
      </c>
      <c r="B8" s="42">
        <v>108</v>
      </c>
      <c r="C8" s="42">
        <v>2.81</v>
      </c>
      <c r="D8" s="42" t="s">
        <v>209</v>
      </c>
      <c r="E8" s="42" t="s">
        <v>210</v>
      </c>
    </row>
    <row r="9" spans="1:5" x14ac:dyDescent="0.25">
      <c r="A9" s="41" t="s">
        <v>211</v>
      </c>
      <c r="B9" s="40">
        <v>138</v>
      </c>
      <c r="C9" s="40">
        <v>2.65</v>
      </c>
      <c r="D9" s="40" t="s">
        <v>212</v>
      </c>
      <c r="E9" s="40" t="s">
        <v>184</v>
      </c>
    </row>
    <row r="11" spans="1:5" x14ac:dyDescent="0.25">
      <c r="A11" s="72" t="s">
        <v>213</v>
      </c>
      <c r="B11" s="45"/>
      <c r="C11" s="45"/>
      <c r="D11" s="45"/>
      <c r="E11" s="45"/>
    </row>
    <row r="13" spans="1:5" x14ac:dyDescent="0.25">
      <c r="A13" s="48" t="s">
        <v>175</v>
      </c>
      <c r="B13" s="45"/>
      <c r="C13" s="45"/>
      <c r="D13" s="45"/>
      <c r="E13" s="45"/>
    </row>
    <row r="14" spans="1:5" x14ac:dyDescent="0.25">
      <c r="A14" s="44" t="s">
        <v>214</v>
      </c>
      <c r="B14" s="45"/>
      <c r="C14" s="45"/>
      <c r="D14" s="45"/>
      <c r="E14" s="45"/>
    </row>
    <row r="15" spans="1:5" x14ac:dyDescent="0.25">
      <c r="A15" s="44" t="s">
        <v>215</v>
      </c>
      <c r="B15" s="45"/>
      <c r="C15" s="45"/>
      <c r="D15" s="45"/>
      <c r="E15" s="45"/>
    </row>
    <row r="16" spans="1:5" x14ac:dyDescent="0.25">
      <c r="A16" s="44" t="s">
        <v>216</v>
      </c>
      <c r="B16" s="45"/>
      <c r="C16" s="45"/>
      <c r="D16" s="45"/>
      <c r="E16" s="45"/>
    </row>
    <row r="17" spans="1:5" x14ac:dyDescent="0.25">
      <c r="A17" s="44" t="s">
        <v>217</v>
      </c>
      <c r="B17" s="45"/>
      <c r="C17" s="45"/>
      <c r="D17" s="45"/>
      <c r="E17" s="45"/>
    </row>
  </sheetData>
  <mergeCells count="8">
    <mergeCell ref="A16:E16"/>
    <mergeCell ref="A17:E17"/>
    <mergeCell ref="A1:E1"/>
    <mergeCell ref="A2:E2"/>
    <mergeCell ref="A11:E11"/>
    <mergeCell ref="A13:E13"/>
    <mergeCell ref="A14:E14"/>
    <mergeCell ref="A15:E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3CC6-CDCE-4695-98E5-97843C258FF5}">
  <dimension ref="A1:E15"/>
  <sheetViews>
    <sheetView tabSelected="1" workbookViewId="0">
      <selection activeCell="G3" sqref="G3"/>
    </sheetView>
  </sheetViews>
  <sheetFormatPr defaultRowHeight="15" x14ac:dyDescent="0.25"/>
  <cols>
    <col min="1" max="1" width="18" customWidth="1"/>
    <col min="2" max="2" width="12" customWidth="1"/>
    <col min="3" max="3" width="20" customWidth="1"/>
    <col min="4" max="4" width="16" customWidth="1"/>
    <col min="5" max="5" width="14" customWidth="1"/>
  </cols>
  <sheetData>
    <row r="1" spans="1:5" ht="18.75" x14ac:dyDescent="0.25">
      <c r="A1" s="46" t="s">
        <v>218</v>
      </c>
      <c r="B1" s="45"/>
      <c r="C1" s="45"/>
      <c r="D1" s="45"/>
      <c r="E1" s="45"/>
    </row>
    <row r="2" spans="1:5" x14ac:dyDescent="0.25">
      <c r="A2" s="44" t="s">
        <v>219</v>
      </c>
      <c r="B2" s="45"/>
      <c r="C2" s="45"/>
      <c r="D2" s="45"/>
      <c r="E2" s="45"/>
    </row>
    <row r="4" spans="1:5" ht="30" x14ac:dyDescent="0.25">
      <c r="A4" s="39" t="s">
        <v>220</v>
      </c>
      <c r="B4" s="39" t="s">
        <v>163</v>
      </c>
      <c r="C4" s="39" t="s">
        <v>97</v>
      </c>
      <c r="D4" s="39" t="s">
        <v>76</v>
      </c>
      <c r="E4" s="39" t="s">
        <v>165</v>
      </c>
    </row>
    <row r="5" spans="1:5" x14ac:dyDescent="0.25">
      <c r="A5" s="41" t="s">
        <v>221</v>
      </c>
      <c r="B5" s="40">
        <v>150</v>
      </c>
      <c r="C5" s="40">
        <v>2.79</v>
      </c>
      <c r="D5" s="40" t="s">
        <v>222</v>
      </c>
      <c r="E5" s="40" t="s">
        <v>223</v>
      </c>
    </row>
    <row r="6" spans="1:5" x14ac:dyDescent="0.25">
      <c r="A6" s="43" t="s">
        <v>224</v>
      </c>
      <c r="B6" s="42">
        <v>1043</v>
      </c>
      <c r="C6" s="42">
        <v>2.7</v>
      </c>
      <c r="D6" s="42" t="s">
        <v>225</v>
      </c>
      <c r="E6" s="42" t="s">
        <v>226</v>
      </c>
    </row>
    <row r="7" spans="1:5" x14ac:dyDescent="0.25">
      <c r="A7" s="41" t="s">
        <v>227</v>
      </c>
      <c r="B7" s="40">
        <v>277</v>
      </c>
      <c r="C7" s="40">
        <v>2.79</v>
      </c>
      <c r="D7" s="40" t="s">
        <v>228</v>
      </c>
      <c r="E7" s="40" t="s">
        <v>229</v>
      </c>
    </row>
    <row r="9" spans="1:5" x14ac:dyDescent="0.25">
      <c r="A9" s="47" t="s">
        <v>230</v>
      </c>
      <c r="B9" s="45"/>
      <c r="C9" s="45"/>
      <c r="D9" s="45"/>
      <c r="E9" s="45"/>
    </row>
    <row r="11" spans="1:5" x14ac:dyDescent="0.25">
      <c r="A11" s="48" t="s">
        <v>175</v>
      </c>
      <c r="B11" s="45"/>
      <c r="C11" s="45"/>
      <c r="D11" s="45"/>
      <c r="E11" s="45"/>
    </row>
    <row r="12" spans="1:5" x14ac:dyDescent="0.25">
      <c r="A12" s="44" t="s">
        <v>231</v>
      </c>
      <c r="B12" s="45"/>
      <c r="C12" s="45"/>
      <c r="D12" s="45"/>
      <c r="E12" s="45"/>
    </row>
    <row r="13" spans="1:5" x14ac:dyDescent="0.25">
      <c r="A13" s="44" t="s">
        <v>232</v>
      </c>
      <c r="B13" s="45"/>
      <c r="C13" s="45"/>
      <c r="D13" s="45"/>
      <c r="E13" s="45"/>
    </row>
    <row r="14" spans="1:5" x14ac:dyDescent="0.25">
      <c r="A14" s="44" t="s">
        <v>233</v>
      </c>
      <c r="B14" s="45"/>
      <c r="C14" s="45"/>
      <c r="D14" s="45"/>
      <c r="E14" s="45"/>
    </row>
    <row r="15" spans="1:5" x14ac:dyDescent="0.25">
      <c r="A15" s="44" t="s">
        <v>234</v>
      </c>
      <c r="B15" s="45"/>
      <c r="C15" s="45"/>
      <c r="D15" s="45"/>
      <c r="E15" s="45"/>
    </row>
  </sheetData>
  <mergeCells count="8">
    <mergeCell ref="A14:E14"/>
    <mergeCell ref="A15:E15"/>
    <mergeCell ref="A1:E1"/>
    <mergeCell ref="A2:E2"/>
    <mergeCell ref="A9:E9"/>
    <mergeCell ref="A11:E11"/>
    <mergeCell ref="A12:E12"/>
    <mergeCell ref="A13:E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FDD1-301C-4500-B0AD-799CA29447CC}">
  <dimension ref="A1:E16"/>
  <sheetViews>
    <sheetView workbookViewId="0">
      <selection activeCell="P7" sqref="P7"/>
    </sheetView>
  </sheetViews>
  <sheetFormatPr defaultRowHeight="15" x14ac:dyDescent="0.25"/>
  <cols>
    <col min="1" max="1" width="22" customWidth="1"/>
    <col min="2" max="2" width="12" customWidth="1"/>
    <col min="3" max="3" width="22" customWidth="1"/>
    <col min="4" max="4" width="14" customWidth="1"/>
  </cols>
  <sheetData>
    <row r="1" spans="1:5" ht="18.75" x14ac:dyDescent="0.25">
      <c r="A1" s="46" t="s">
        <v>235</v>
      </c>
      <c r="B1" s="45"/>
      <c r="C1" s="45"/>
      <c r="D1" s="45"/>
      <c r="E1" s="45"/>
    </row>
    <row r="2" spans="1:5" x14ac:dyDescent="0.25">
      <c r="A2" s="44" t="s">
        <v>236</v>
      </c>
      <c r="B2" s="45"/>
      <c r="C2" s="45"/>
      <c r="D2" s="45"/>
      <c r="E2" s="45"/>
    </row>
    <row r="4" spans="1:5" ht="30" x14ac:dyDescent="0.25">
      <c r="A4" s="39" t="s">
        <v>237</v>
      </c>
      <c r="B4" s="39" t="s">
        <v>163</v>
      </c>
      <c r="C4" s="39" t="s">
        <v>164</v>
      </c>
      <c r="D4" s="39" t="s">
        <v>165</v>
      </c>
    </row>
    <row r="5" spans="1:5" x14ac:dyDescent="0.25">
      <c r="A5" s="41" t="s">
        <v>238</v>
      </c>
      <c r="B5" s="40">
        <v>581</v>
      </c>
      <c r="C5" s="40">
        <v>3.17</v>
      </c>
      <c r="D5" s="40" t="s">
        <v>239</v>
      </c>
    </row>
    <row r="6" spans="1:5" x14ac:dyDescent="0.25">
      <c r="A6" s="43" t="s">
        <v>240</v>
      </c>
      <c r="B6" s="42">
        <v>516</v>
      </c>
      <c r="C6" s="42">
        <v>3.13</v>
      </c>
      <c r="D6" s="42" t="s">
        <v>241</v>
      </c>
    </row>
    <row r="7" spans="1:5" x14ac:dyDescent="0.25">
      <c r="A7" s="41" t="s">
        <v>202</v>
      </c>
      <c r="B7" s="40">
        <v>158</v>
      </c>
      <c r="C7" s="40">
        <v>3.17</v>
      </c>
      <c r="D7" s="40" t="s">
        <v>242</v>
      </c>
    </row>
    <row r="8" spans="1:5" x14ac:dyDescent="0.25">
      <c r="A8" s="43" t="s">
        <v>243</v>
      </c>
      <c r="B8" s="42">
        <v>215</v>
      </c>
      <c r="C8" s="42">
        <v>3.16</v>
      </c>
      <c r="D8" s="42" t="s">
        <v>244</v>
      </c>
    </row>
    <row r="10" spans="1:5" x14ac:dyDescent="0.25">
      <c r="A10" s="72" t="s">
        <v>245</v>
      </c>
      <c r="B10" s="45"/>
      <c r="C10" s="45"/>
      <c r="D10" s="45"/>
      <c r="E10" s="45"/>
    </row>
    <row r="12" spans="1:5" x14ac:dyDescent="0.25">
      <c r="A12" s="48" t="s">
        <v>175</v>
      </c>
      <c r="B12" s="45"/>
      <c r="C12" s="45"/>
      <c r="D12" s="45"/>
      <c r="E12" s="45"/>
    </row>
    <row r="13" spans="1:5" x14ac:dyDescent="0.25">
      <c r="A13" s="44" t="s">
        <v>246</v>
      </c>
      <c r="B13" s="45"/>
      <c r="C13" s="45"/>
      <c r="D13" s="45"/>
      <c r="E13" s="45"/>
    </row>
    <row r="14" spans="1:5" x14ac:dyDescent="0.25">
      <c r="A14" s="44" t="s">
        <v>247</v>
      </c>
      <c r="B14" s="45"/>
      <c r="C14" s="45"/>
      <c r="D14" s="45"/>
      <c r="E14" s="45"/>
    </row>
    <row r="15" spans="1:5" x14ac:dyDescent="0.25">
      <c r="A15" s="44" t="s">
        <v>248</v>
      </c>
      <c r="B15" s="45"/>
      <c r="C15" s="45"/>
      <c r="D15" s="45"/>
      <c r="E15" s="45"/>
    </row>
    <row r="16" spans="1:5" x14ac:dyDescent="0.25">
      <c r="A16" s="44" t="s">
        <v>249</v>
      </c>
      <c r="B16" s="45"/>
      <c r="C16" s="45"/>
      <c r="D16" s="45"/>
      <c r="E16" s="45"/>
    </row>
  </sheetData>
  <mergeCells count="8">
    <mergeCell ref="A15:E15"/>
    <mergeCell ref="A16:E16"/>
    <mergeCell ref="A1:E1"/>
    <mergeCell ref="A2:E2"/>
    <mergeCell ref="A10:E10"/>
    <mergeCell ref="A12:E12"/>
    <mergeCell ref="A13:E13"/>
    <mergeCell ref="A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 Medium Q</vt:lpstr>
      <vt:lpstr>Q1 Top 3 Drivers</vt:lpstr>
      <vt:lpstr>Q2 Job Involvement</vt:lpstr>
      <vt:lpstr>Q3 Age vs Satisfaction</vt:lpstr>
      <vt:lpstr>Q4 Marital Status</vt:lpstr>
      <vt:lpstr>Q5 Training Impact</vt:lpstr>
      <vt:lpstr>Q6 WLB vs Performance</vt:lpstr>
      <vt:lpstr>Q7  Stock Options</vt:lpstr>
      <vt:lpstr>Q8 Tenure vs JobSat</vt:lpstr>
      <vt:lpstr>Q9 Travel vs JobSat</vt:lpstr>
      <vt:lpstr>Q10 Promotion vs 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Pawar</dc:creator>
  <cp:lastModifiedBy>Mandar Pawar</cp:lastModifiedBy>
  <dcterms:created xsi:type="dcterms:W3CDTF">2026-06-12T07:40:33Z</dcterms:created>
  <dcterms:modified xsi:type="dcterms:W3CDTF">2026-06-13T15:07:47Z</dcterms:modified>
</cp:coreProperties>
</file>